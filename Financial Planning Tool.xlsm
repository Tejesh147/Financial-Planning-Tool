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ejesh/Downloads/"/>
    </mc:Choice>
  </mc:AlternateContent>
  <xr:revisionPtr revIDLastSave="0" documentId="13_ncr:1_{D90A17DB-E937-C146-B5C2-F4BD72234405}" xr6:coauthVersionLast="47" xr6:coauthVersionMax="47" xr10:uidLastSave="{00000000-0000-0000-0000-000000000000}"/>
  <bookViews>
    <workbookView xWindow="-3620" yWindow="-21100" windowWidth="38400" windowHeight="21100" activeTab="3" xr2:uid="{00000000-000D-0000-FFFF-FFFF00000000}"/>
  </bookViews>
  <sheets>
    <sheet name="Welcome!" sheetId="5" r:id="rId1"/>
    <sheet name="Expenses&amp;Incomes" sheetId="1" r:id="rId2"/>
    <sheet name="Output" sheetId="2" r:id="rId3"/>
    <sheet name="Financial Summary" sheetId="4" r:id="rId4"/>
    <sheet name="Financial Advice" sheetId="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4" l="1"/>
  <c r="E11" i="4"/>
  <c r="D11" i="4"/>
  <c r="E10" i="4"/>
  <c r="D10" i="4"/>
  <c r="E9" i="4"/>
  <c r="D9" i="4"/>
  <c r="J8" i="4"/>
  <c r="I8" i="4"/>
  <c r="E8" i="4"/>
  <c r="D8" i="4"/>
  <c r="J7" i="4"/>
  <c r="I7" i="4"/>
  <c r="E7" i="4"/>
  <c r="D7" i="4"/>
  <c r="J6" i="4"/>
  <c r="I6" i="4"/>
  <c r="E6" i="4"/>
  <c r="D6" i="4"/>
  <c r="J5" i="4"/>
  <c r="I5" i="4"/>
  <c r="E5" i="4"/>
  <c r="D5" i="4"/>
  <c r="J4" i="4"/>
  <c r="I4" i="4"/>
  <c r="E4" i="4"/>
  <c r="D4" i="4"/>
  <c r="I3" i="4" l="1"/>
  <c r="J3" i="4"/>
  <c r="E3" i="4"/>
  <c r="F4" i="4"/>
  <c r="K4" i="4"/>
  <c r="F5" i="4"/>
  <c r="F8" i="4"/>
  <c r="K5" i="4"/>
  <c r="K3" i="4"/>
  <c r="F6" i="4"/>
  <c r="F9" i="4"/>
  <c r="K6" i="4"/>
  <c r="F10" i="4"/>
  <c r="F7" i="4"/>
  <c r="F11" i="4"/>
  <c r="K7" i="4"/>
  <c r="K8" i="4"/>
  <c r="D3" i="4"/>
  <c r="I12" i="4" l="1"/>
  <c r="F3" i="4"/>
</calcChain>
</file>

<file path=xl/sharedStrings.xml><?xml version="1.0" encoding="utf-8"?>
<sst xmlns="http://schemas.openxmlformats.org/spreadsheetml/2006/main" count="160" uniqueCount="70">
  <si>
    <t>Date</t>
  </si>
  <si>
    <t>Item</t>
  </si>
  <si>
    <t>Category</t>
  </si>
  <si>
    <t>Description</t>
  </si>
  <si>
    <t>Start Date</t>
  </si>
  <si>
    <t>End Date</t>
  </si>
  <si>
    <t>Amount</t>
  </si>
  <si>
    <t>Income</t>
  </si>
  <si>
    <t>Expenses</t>
  </si>
  <si>
    <t>Totals</t>
  </si>
  <si>
    <t>Planned</t>
  </si>
  <si>
    <t>Actual</t>
  </si>
  <si>
    <t>Difference</t>
  </si>
  <si>
    <t>Lazeez</t>
  </si>
  <si>
    <t>Shopping</t>
  </si>
  <si>
    <t>Food</t>
  </si>
  <si>
    <t>Bills</t>
  </si>
  <si>
    <t>Health/Medical</t>
  </si>
  <si>
    <t>Entertainment</t>
  </si>
  <si>
    <t>Transportation</t>
  </si>
  <si>
    <t>Gifts</t>
  </si>
  <si>
    <t>Other</t>
  </si>
  <si>
    <t>Paycheck</t>
  </si>
  <si>
    <t>E-Transfer</t>
  </si>
  <si>
    <t>Savings</t>
  </si>
  <si>
    <t>Interest</t>
  </si>
  <si>
    <t>Categories</t>
  </si>
  <si>
    <t>Planned Amount</t>
  </si>
  <si>
    <t>Phone Bill</t>
  </si>
  <si>
    <t>Medication</t>
  </si>
  <si>
    <t>Canada's Wonderland</t>
  </si>
  <si>
    <t>McDonald's</t>
  </si>
  <si>
    <t>Campus Pizza</t>
  </si>
  <si>
    <t>Groceries</t>
  </si>
  <si>
    <t>Air Forces</t>
  </si>
  <si>
    <t>Burger King Paycheck</t>
  </si>
  <si>
    <t>David's E-transfer</t>
  </si>
  <si>
    <t>Found $200 on the ground</t>
  </si>
  <si>
    <t>Uncle's E-Transfer</t>
  </si>
  <si>
    <t>Interest on whatever</t>
  </si>
  <si>
    <t>will add the chart titles n stuff later</t>
  </si>
  <si>
    <t>Starting Balance</t>
  </si>
  <si>
    <t>Balance</t>
  </si>
  <si>
    <t>Starting</t>
  </si>
  <si>
    <t>Final</t>
  </si>
  <si>
    <t>Let's break down your finances!</t>
  </si>
  <si>
    <t>Out of 8 EXPENSE categories, you went over your planned spending limit in 2 of them!</t>
  </si>
  <si>
    <t>For the Totals category, you were under by 181</t>
  </si>
  <si>
    <t>For the Food category, you were under by 109</t>
  </si>
  <si>
    <t>For the Shopping category, you were under by 65</t>
  </si>
  <si>
    <t>For the Bills category, you were under by 45</t>
  </si>
  <si>
    <t>For the Health/Medical category, you were over by 18</t>
  </si>
  <si>
    <t>For the Entertainment category, you were over by 20</t>
  </si>
  <si>
    <t>For the Transportation category, you hit your planned amount on the mark!</t>
  </si>
  <si>
    <t>For the Gifts category, you hit your planned amount on the mark!</t>
  </si>
  <si>
    <t>For the Other category, you hit your planned amount on the mark!</t>
  </si>
  <si>
    <t>Out of 5 INCOME categories, you went under your expected income amount in 1 of them!</t>
  </si>
  <si>
    <t>For the Totals category, you were over by 569</t>
  </si>
  <si>
    <t>For the Paycheck category, you were over by 90</t>
  </si>
  <si>
    <t>For the E-Transfer category, you were over by 320</t>
  </si>
  <si>
    <t>For the Savings category, you hit your planned amount on the mark!</t>
  </si>
  <si>
    <t>For the Interest category, you were under by 41</t>
  </si>
  <si>
    <t>For the Other category, you were over by 200</t>
  </si>
  <si>
    <t>Think about cutting down spending in Health/Medical &amp; Entertainment, and if possible, increasing your income. Especially in Interest.</t>
  </si>
  <si>
    <t>Planned Expense</t>
  </si>
  <si>
    <t>Planned Income</t>
  </si>
  <si>
    <t>Great job! You've INCREASED your balance by 2220. Keep it up!</t>
  </si>
  <si>
    <t>Output</t>
  </si>
  <si>
    <t>Welcome to the Financial Planning Tool!</t>
  </si>
  <si>
    <t>Made by Tejesh Arujuna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</si>
</sst>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tifakt Element Light"/>
      <family val="2"/>
    </font>
    <font>
      <sz val="24"/>
      <color theme="1"/>
      <name val="Artifakt Element Light"/>
      <family val="2"/>
    </font>
    <font>
      <sz val="24"/>
      <color theme="0"/>
      <name val="Artifakt Element Light"/>
      <family val="2"/>
    </font>
    <font>
      <sz val="12"/>
      <color theme="1"/>
      <name val="Artifakt Element Light"/>
      <family val="2"/>
    </font>
    <font>
      <b/>
      <sz val="12"/>
      <color theme="0"/>
      <name val="Artifakt Element Light"/>
      <family val="2"/>
    </font>
    <font>
      <sz val="14"/>
      <color theme="1"/>
      <name val="Artifakt Element Light"/>
      <family val="2"/>
    </font>
    <font>
      <b/>
      <sz val="12"/>
      <color theme="1"/>
      <name val="Artifakt Element Light"/>
      <family val="2"/>
    </font>
    <font>
      <i/>
      <sz val="12"/>
      <color theme="1"/>
      <name val="Artifakt Element Light"/>
      <family val="2"/>
    </font>
    <font>
      <sz val="11"/>
      <name val="Artifakt Element Light"/>
      <family val="2"/>
    </font>
    <font>
      <b/>
      <i/>
      <sz val="14"/>
      <color theme="0"/>
      <name val="Artifakt Element Light"/>
      <family val="2"/>
    </font>
    <font>
      <sz val="14"/>
      <name val="Calibri"/>
      <family val="2"/>
      <scheme val="minor"/>
    </font>
    <font>
      <sz val="16"/>
      <color theme="1"/>
      <name val="Artifakt Element Light"/>
      <family val="2"/>
    </font>
    <font>
      <sz val="48"/>
      <color rgb="FF000000"/>
      <name val="Artifakt Element Light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theme="4" tint="0.79998168889431442"/>
      </patternFill>
    </fill>
  </fills>
  <borders count="46">
    <border>
      <left/>
      <right/>
      <top/>
      <bottom/>
      <diagonal/>
    </border>
    <border>
      <left/>
      <right style="thin">
        <color theme="5" tint="0.79998168889431442"/>
      </right>
      <top/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/>
      <diagonal/>
    </border>
    <border>
      <left/>
      <right style="thin">
        <color theme="8" tint="0.39997558519241921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 style="thin">
        <color theme="8" tint="0.3999755851924192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/>
      <diagonal/>
    </border>
    <border>
      <left/>
      <right/>
      <top style="medium">
        <color theme="8" tint="0.39997558519241921"/>
      </top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/>
      <diagonal/>
    </border>
    <border>
      <left style="medium">
        <color theme="8" tint="0.39997558519241921"/>
      </left>
      <right/>
      <top/>
      <bottom style="medium">
        <color theme="8" tint="0.39997558519241921"/>
      </bottom>
      <diagonal/>
    </border>
    <border>
      <left/>
      <right/>
      <top/>
      <bottom style="medium">
        <color theme="8" tint="0.39997558519241921"/>
      </bottom>
      <diagonal/>
    </border>
    <border>
      <left/>
      <right style="medium">
        <color theme="8" tint="0.39997558519241921"/>
      </right>
      <top/>
      <bottom style="medium">
        <color theme="8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 style="medium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 style="medium">
        <color indexed="64"/>
      </right>
      <top/>
      <bottom style="thin">
        <color theme="8" tint="0.399975585192419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 style="medium">
        <color indexed="64"/>
      </bottom>
      <diagonal/>
    </border>
    <border>
      <left/>
      <right/>
      <top style="medium">
        <color theme="8" tint="0.39997558519241921"/>
      </top>
      <bottom style="medium">
        <color indexed="64"/>
      </bottom>
      <diagonal/>
    </border>
    <border>
      <left/>
      <right style="medium">
        <color theme="8" tint="0.39997558519241921"/>
      </right>
      <top style="medium">
        <color theme="8" tint="0.3999755851924192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medium">
        <color indexed="64"/>
      </top>
      <bottom/>
      <diagonal/>
    </border>
    <border>
      <left style="thin">
        <color theme="8" tint="0.39997558519241921"/>
      </left>
      <right style="thin">
        <color theme="8" tint="0.39997558519241921"/>
      </right>
      <top style="medium">
        <color indexed="64"/>
      </top>
      <bottom/>
      <diagonal/>
    </border>
    <border>
      <left style="thin">
        <color theme="8" tint="0.39997558519241921"/>
      </left>
      <right style="thin">
        <color theme="8" tint="0.39997558519241921"/>
      </right>
      <top/>
      <bottom/>
      <diagonal/>
    </border>
    <border>
      <left/>
      <right/>
      <top/>
      <bottom style="medium">
        <color theme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7">
    <xf numFmtId="0" fontId="0" fillId="0" borderId="0" xfId="0"/>
    <xf numFmtId="0" fontId="2" fillId="3" borderId="0" xfId="0" applyFont="1" applyFill="1"/>
    <xf numFmtId="0" fontId="2" fillId="6" borderId="0" xfId="0" applyFont="1" applyFill="1"/>
    <xf numFmtId="0" fontId="5" fillId="3" borderId="0" xfId="0" applyFont="1" applyFill="1"/>
    <xf numFmtId="0" fontId="5" fillId="4" borderId="0" xfId="0" applyFont="1" applyFill="1"/>
    <xf numFmtId="0" fontId="6" fillId="3" borderId="0" xfId="0" applyFont="1" applyFill="1"/>
    <xf numFmtId="0" fontId="8" fillId="5" borderId="0" xfId="0" applyFont="1" applyFill="1"/>
    <xf numFmtId="0" fontId="2" fillId="7" borderId="5" xfId="0" applyFont="1" applyFill="1" applyBorder="1"/>
    <xf numFmtId="0" fontId="2" fillId="7" borderId="6" xfId="0" applyFont="1" applyFill="1" applyBorder="1"/>
    <xf numFmtId="0" fontId="2" fillId="4" borderId="3" xfId="0" applyFont="1" applyFill="1" applyBorder="1"/>
    <xf numFmtId="0" fontId="2" fillId="4" borderId="4" xfId="0" applyFont="1" applyFill="1" applyBorder="1"/>
    <xf numFmtId="0" fontId="2" fillId="7" borderId="3" xfId="0" applyFont="1" applyFill="1" applyBorder="1"/>
    <xf numFmtId="0" fontId="2" fillId="7" borderId="4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6" borderId="1" xfId="0" applyFont="1" applyFill="1" applyBorder="1"/>
    <xf numFmtId="0" fontId="2" fillId="6" borderId="2" xfId="0" applyFont="1" applyFill="1" applyBorder="1"/>
    <xf numFmtId="164" fontId="2" fillId="4" borderId="2" xfId="0" applyNumberFormat="1" applyFont="1" applyFill="1" applyBorder="1"/>
    <xf numFmtId="0" fontId="2" fillId="4" borderId="2" xfId="0" applyFont="1" applyFill="1" applyBorder="1"/>
    <xf numFmtId="0" fontId="2" fillId="6" borderId="7" xfId="0" applyFont="1" applyFill="1" applyBorder="1"/>
    <xf numFmtId="0" fontId="4" fillId="3" borderId="9" xfId="0" applyFont="1" applyFill="1" applyBorder="1"/>
    <xf numFmtId="0" fontId="10" fillId="5" borderId="11" xfId="1" applyFont="1" applyFill="1" applyBorder="1"/>
    <xf numFmtId="0" fontId="10" fillId="5" borderId="5" xfId="1" applyFont="1" applyFill="1" applyBorder="1"/>
    <xf numFmtId="0" fontId="10" fillId="5" borderId="6" xfId="1" applyFont="1" applyFill="1" applyBorder="1"/>
    <xf numFmtId="0" fontId="4" fillId="3" borderId="12" xfId="0" applyFont="1" applyFill="1" applyBorder="1"/>
    <xf numFmtId="0" fontId="4" fillId="3" borderId="13" xfId="0" applyFont="1" applyFill="1" applyBorder="1"/>
    <xf numFmtId="0" fontId="11" fillId="3" borderId="10" xfId="0" applyFont="1" applyFill="1" applyBorder="1" applyAlignment="1">
      <alignment horizontal="center"/>
    </xf>
    <xf numFmtId="164" fontId="0" fillId="7" borderId="2" xfId="0" applyNumberFormat="1" applyFill="1" applyBorder="1"/>
    <xf numFmtId="0" fontId="0" fillId="7" borderId="2" xfId="0" applyFill="1" applyBorder="1"/>
    <xf numFmtId="164" fontId="0" fillId="4" borderId="2" xfId="0" applyNumberFormat="1" applyFill="1" applyBorder="1"/>
    <xf numFmtId="0" fontId="0" fillId="4" borderId="2" xfId="0" applyFill="1" applyBorder="1"/>
    <xf numFmtId="0" fontId="0" fillId="6" borderId="0" xfId="0" applyFill="1"/>
    <xf numFmtId="164" fontId="0" fillId="6" borderId="0" xfId="0" applyNumberFormat="1" applyFill="1"/>
    <xf numFmtId="0" fontId="4" fillId="3" borderId="14" xfId="0" applyFont="1" applyFill="1" applyBorder="1"/>
    <xf numFmtId="0" fontId="4" fillId="3" borderId="15" xfId="0" applyFont="1" applyFill="1" applyBorder="1"/>
    <xf numFmtId="0" fontId="12" fillId="5" borderId="11" xfId="1" applyFont="1" applyFill="1" applyBorder="1"/>
    <xf numFmtId="0" fontId="12" fillId="5" borderId="2" xfId="1" applyFont="1" applyFill="1" applyBorder="1"/>
    <xf numFmtId="0" fontId="0" fillId="3" borderId="0" xfId="0" applyFill="1"/>
    <xf numFmtId="0" fontId="0" fillId="4" borderId="11" xfId="0" applyFill="1" applyBorder="1"/>
    <xf numFmtId="0" fontId="7" fillId="4" borderId="11" xfId="0" applyFont="1" applyFill="1" applyBorder="1"/>
    <xf numFmtId="0" fontId="0" fillId="4" borderId="22" xfId="0" applyFill="1" applyBorder="1"/>
    <xf numFmtId="0" fontId="0" fillId="3" borderId="4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4" borderId="32" xfId="0" applyFill="1" applyBorder="1"/>
    <xf numFmtId="0" fontId="0" fillId="4" borderId="33" xfId="0" applyFill="1" applyBorder="1"/>
    <xf numFmtId="0" fontId="0" fillId="4" borderId="37" xfId="0" applyFill="1" applyBorder="1"/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13" fillId="4" borderId="34" xfId="0" applyFont="1" applyFill="1" applyBorder="1" applyAlignment="1">
      <alignment horizontal="center"/>
    </xf>
    <xf numFmtId="0" fontId="13" fillId="4" borderId="35" xfId="0" applyFont="1" applyFill="1" applyBorder="1" applyAlignment="1">
      <alignment horizontal="center"/>
    </xf>
    <xf numFmtId="0" fontId="13" fillId="4" borderId="36" xfId="0" applyFont="1" applyFill="1" applyBorder="1" applyAlignment="1">
      <alignment horizontal="center"/>
    </xf>
    <xf numFmtId="0" fontId="0" fillId="0" borderId="0" xfId="0"/>
    <xf numFmtId="0" fontId="0" fillId="4" borderId="0" xfId="0" applyFill="1" applyBorder="1"/>
    <xf numFmtId="0" fontId="0" fillId="4" borderId="0" xfId="0" applyFill="1"/>
    <xf numFmtId="0" fontId="5" fillId="4" borderId="0" xfId="0" applyFont="1" applyFill="1" applyBorder="1"/>
    <xf numFmtId="0" fontId="9" fillId="5" borderId="38" xfId="0" applyFont="1" applyFill="1" applyBorder="1"/>
    <xf numFmtId="0" fontId="8" fillId="5" borderId="38" xfId="0" applyFont="1" applyFill="1" applyBorder="1"/>
    <xf numFmtId="0" fontId="8" fillId="5" borderId="8" xfId="0" applyFont="1" applyFill="1" applyBorder="1"/>
    <xf numFmtId="0" fontId="0" fillId="4" borderId="39" xfId="0" applyFill="1" applyBorder="1"/>
    <xf numFmtId="0" fontId="0" fillId="6" borderId="38" xfId="0" applyFill="1" applyBorder="1"/>
    <xf numFmtId="0" fontId="0" fillId="4" borderId="40" xfId="0" applyFill="1" applyBorder="1"/>
    <xf numFmtId="0" fontId="0" fillId="4" borderId="8" xfId="0" applyFill="1" applyBorder="1"/>
    <xf numFmtId="0" fontId="0" fillId="6" borderId="8" xfId="0" applyFill="1" applyBorder="1"/>
    <xf numFmtId="0" fontId="0" fillId="4" borderId="5" xfId="0" applyFill="1" applyBorder="1"/>
    <xf numFmtId="0" fontId="0" fillId="4" borderId="38" xfId="0" applyFill="1" applyBorder="1"/>
    <xf numFmtId="0" fontId="0" fillId="4" borderId="6" xfId="0" applyFill="1" applyBorder="1"/>
    <xf numFmtId="0" fontId="0" fillId="4" borderId="41" xfId="0" applyFill="1" applyBorder="1"/>
    <xf numFmtId="0" fontId="0" fillId="4" borderId="7" xfId="0" applyFill="1" applyBorder="1"/>
    <xf numFmtId="0" fontId="0" fillId="6" borderId="42" xfId="0" applyFill="1" applyBorder="1"/>
    <xf numFmtId="0" fontId="0" fillId="4" borderId="42" xfId="0" applyFill="1" applyBorder="1"/>
    <xf numFmtId="0" fontId="0" fillId="6" borderId="43" xfId="0" applyFill="1" applyBorder="1"/>
    <xf numFmtId="0" fontId="0" fillId="6" borderId="44" xfId="0" applyFill="1" applyBorder="1"/>
    <xf numFmtId="0" fontId="2" fillId="6" borderId="0" xfId="0" applyFont="1" applyFill="1" applyBorder="1"/>
    <xf numFmtId="0" fontId="4" fillId="3" borderId="45" xfId="0" applyFont="1" applyFill="1" applyBorder="1"/>
    <xf numFmtId="0" fontId="2" fillId="3" borderId="45" xfId="0" applyFont="1" applyFill="1" applyBorder="1"/>
  </cellXfs>
  <cellStyles count="2">
    <cellStyle name="Accent5" xfId="1" builtinId="45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 of Expenses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'Financial Summary'!$D$2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'Financial Summary'!$C$3:$C$11</c:f>
              <c:strCache>
                <c:ptCount val="9"/>
                <c:pt idx="0">
                  <c:v>Totals</c:v>
                </c:pt>
                <c:pt idx="1">
                  <c:v>Food</c:v>
                </c:pt>
                <c:pt idx="2">
                  <c:v>Shopping</c:v>
                </c:pt>
                <c:pt idx="3">
                  <c:v>Bills</c:v>
                </c:pt>
                <c:pt idx="4">
                  <c:v>Health/Medical</c:v>
                </c:pt>
                <c:pt idx="5">
                  <c:v>Entertainment</c:v>
                </c:pt>
                <c:pt idx="6">
                  <c:v>Transportation</c:v>
                </c:pt>
                <c:pt idx="7">
                  <c:v>Gifts</c:v>
                </c:pt>
                <c:pt idx="8">
                  <c:v>Other</c:v>
                </c:pt>
              </c:strCache>
            </c:strRef>
          </c:cat>
          <c:val>
            <c:numRef>
              <c:f>'Financial Summary'!$D$3:$D$11</c:f>
              <c:numCache>
                <c:formatCode>General</c:formatCode>
                <c:ptCount val="9"/>
                <c:pt idx="0">
                  <c:v>730</c:v>
                </c:pt>
                <c:pt idx="1">
                  <c:v>200</c:v>
                </c:pt>
                <c:pt idx="2">
                  <c:v>250</c:v>
                </c:pt>
                <c:pt idx="3">
                  <c:v>135</c:v>
                </c:pt>
                <c:pt idx="4">
                  <c:v>45</c:v>
                </c:pt>
                <c:pt idx="5">
                  <c:v>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8-0443-B8B8-6730C72548E0}"/>
            </c:ext>
          </c:extLst>
        </c:ser>
        <c:ser>
          <c:idx val="1"/>
          <c:order val="1"/>
          <c:tx>
            <c:strRef>
              <c:f>'Financial Summary'!$E$2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'Financial Summary'!$C$3:$C$11</c:f>
              <c:strCache>
                <c:ptCount val="9"/>
                <c:pt idx="0">
                  <c:v>Totals</c:v>
                </c:pt>
                <c:pt idx="1">
                  <c:v>Food</c:v>
                </c:pt>
                <c:pt idx="2">
                  <c:v>Shopping</c:v>
                </c:pt>
                <c:pt idx="3">
                  <c:v>Bills</c:v>
                </c:pt>
                <c:pt idx="4">
                  <c:v>Health/Medical</c:v>
                </c:pt>
                <c:pt idx="5">
                  <c:v>Entertainment</c:v>
                </c:pt>
                <c:pt idx="6">
                  <c:v>Transportation</c:v>
                </c:pt>
                <c:pt idx="7">
                  <c:v>Gifts</c:v>
                </c:pt>
                <c:pt idx="8">
                  <c:v>Other</c:v>
                </c:pt>
              </c:strCache>
            </c:strRef>
          </c:cat>
          <c:val>
            <c:numRef>
              <c:f>'Financial Summary'!$E$3:$E$11</c:f>
              <c:numCache>
                <c:formatCode>General</c:formatCode>
                <c:ptCount val="9"/>
                <c:pt idx="0">
                  <c:v>549</c:v>
                </c:pt>
                <c:pt idx="1">
                  <c:v>91</c:v>
                </c:pt>
                <c:pt idx="2">
                  <c:v>185</c:v>
                </c:pt>
                <c:pt idx="3">
                  <c:v>90</c:v>
                </c:pt>
                <c:pt idx="4">
                  <c:v>63</c:v>
                </c:pt>
                <c:pt idx="5">
                  <c:v>120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8-0443-B8B8-6730C7254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31210143"/>
        <c:axId val="1631495759"/>
      </c:barChart>
      <c:catAx>
        <c:axId val="16312101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95759"/>
        <c:crosses val="autoZero"/>
        <c:auto val="1"/>
        <c:lblAlgn val="ctr"/>
        <c:lblOffset val="100"/>
        <c:noMultiLvlLbl val="0"/>
      </c:catAx>
      <c:valAx>
        <c:axId val="1631495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21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 of Expenses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'Financial Summary'!$D$2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'Financial Summary'!$C$3:$C$11</c:f>
              <c:strCache>
                <c:ptCount val="9"/>
                <c:pt idx="0">
                  <c:v>Totals</c:v>
                </c:pt>
                <c:pt idx="1">
                  <c:v>Food</c:v>
                </c:pt>
                <c:pt idx="2">
                  <c:v>Shopping</c:v>
                </c:pt>
                <c:pt idx="3">
                  <c:v>Bills</c:v>
                </c:pt>
                <c:pt idx="4">
                  <c:v>Health/Medical</c:v>
                </c:pt>
                <c:pt idx="5">
                  <c:v>Entertainment</c:v>
                </c:pt>
                <c:pt idx="6">
                  <c:v>Transportation</c:v>
                </c:pt>
                <c:pt idx="7">
                  <c:v>Gifts</c:v>
                </c:pt>
                <c:pt idx="8">
                  <c:v>Other</c:v>
                </c:pt>
              </c:strCache>
            </c:strRef>
          </c:cat>
          <c:val>
            <c:numRef>
              <c:f>'Financial Summary'!$D$3:$D$11</c:f>
              <c:numCache>
                <c:formatCode>General</c:formatCode>
                <c:ptCount val="9"/>
                <c:pt idx="0">
                  <c:v>730</c:v>
                </c:pt>
                <c:pt idx="1">
                  <c:v>200</c:v>
                </c:pt>
                <c:pt idx="2">
                  <c:v>250</c:v>
                </c:pt>
                <c:pt idx="3">
                  <c:v>135</c:v>
                </c:pt>
                <c:pt idx="4">
                  <c:v>45</c:v>
                </c:pt>
                <c:pt idx="5">
                  <c:v>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B-ED41-BC43-749F0E84270A}"/>
            </c:ext>
          </c:extLst>
        </c:ser>
        <c:ser>
          <c:idx val="1"/>
          <c:order val="1"/>
          <c:tx>
            <c:strRef>
              <c:f>'Financial Summary'!$E$2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'Financial Summary'!$C$3:$C$11</c:f>
              <c:strCache>
                <c:ptCount val="9"/>
                <c:pt idx="0">
                  <c:v>Totals</c:v>
                </c:pt>
                <c:pt idx="1">
                  <c:v>Food</c:v>
                </c:pt>
                <c:pt idx="2">
                  <c:v>Shopping</c:v>
                </c:pt>
                <c:pt idx="3">
                  <c:v>Bills</c:v>
                </c:pt>
                <c:pt idx="4">
                  <c:v>Health/Medical</c:v>
                </c:pt>
                <c:pt idx="5">
                  <c:v>Entertainment</c:v>
                </c:pt>
                <c:pt idx="6">
                  <c:v>Transportation</c:v>
                </c:pt>
                <c:pt idx="7">
                  <c:v>Gifts</c:v>
                </c:pt>
                <c:pt idx="8">
                  <c:v>Other</c:v>
                </c:pt>
              </c:strCache>
            </c:strRef>
          </c:cat>
          <c:val>
            <c:numRef>
              <c:f>'Financial Summary'!$E$3:$E$11</c:f>
              <c:numCache>
                <c:formatCode>General</c:formatCode>
                <c:ptCount val="9"/>
                <c:pt idx="0">
                  <c:v>549</c:v>
                </c:pt>
                <c:pt idx="1">
                  <c:v>91</c:v>
                </c:pt>
                <c:pt idx="2">
                  <c:v>185</c:v>
                </c:pt>
                <c:pt idx="3">
                  <c:v>90</c:v>
                </c:pt>
                <c:pt idx="4">
                  <c:v>63</c:v>
                </c:pt>
                <c:pt idx="5">
                  <c:v>120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8B-ED41-BC43-749F0E842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 of Income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'Financial Summary'!$I$2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'Financial Summary'!$H$3:$H$8</c:f>
              <c:strCache>
                <c:ptCount val="6"/>
                <c:pt idx="0">
                  <c:v>Totals</c:v>
                </c:pt>
                <c:pt idx="1">
                  <c:v>Paycheck</c:v>
                </c:pt>
                <c:pt idx="2">
                  <c:v>E-Transfer</c:v>
                </c:pt>
                <c:pt idx="3">
                  <c:v>Savings</c:v>
                </c:pt>
                <c:pt idx="4">
                  <c:v>Interest</c:v>
                </c:pt>
                <c:pt idx="5">
                  <c:v>Other</c:v>
                </c:pt>
              </c:strCache>
            </c:strRef>
          </c:cat>
          <c:val>
            <c:numRef>
              <c:f>'Financial Summary'!$I$3:$I$8</c:f>
              <c:numCache>
                <c:formatCode>General</c:formatCode>
                <c:ptCount val="6"/>
                <c:pt idx="0">
                  <c:v>2200</c:v>
                </c:pt>
                <c:pt idx="1">
                  <c:v>1800</c:v>
                </c:pt>
                <c:pt idx="2">
                  <c:v>200</c:v>
                </c:pt>
                <c:pt idx="3">
                  <c:v>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8-6E41-AAA3-2CED2C467DFC}"/>
            </c:ext>
          </c:extLst>
        </c:ser>
        <c:ser>
          <c:idx val="1"/>
          <c:order val="1"/>
          <c:tx>
            <c:strRef>
              <c:f>'Financial Summary'!$J$2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'Financial Summary'!$H$3:$H$8</c:f>
              <c:strCache>
                <c:ptCount val="6"/>
                <c:pt idx="0">
                  <c:v>Totals</c:v>
                </c:pt>
                <c:pt idx="1">
                  <c:v>Paycheck</c:v>
                </c:pt>
                <c:pt idx="2">
                  <c:v>E-Transfer</c:v>
                </c:pt>
                <c:pt idx="3">
                  <c:v>Savings</c:v>
                </c:pt>
                <c:pt idx="4">
                  <c:v>Interest</c:v>
                </c:pt>
                <c:pt idx="5">
                  <c:v>Other</c:v>
                </c:pt>
              </c:strCache>
            </c:strRef>
          </c:cat>
          <c:val>
            <c:numRef>
              <c:f>'Financial Summary'!$J$3:$J$8</c:f>
              <c:numCache>
                <c:formatCode>General</c:formatCode>
                <c:ptCount val="6"/>
                <c:pt idx="0">
                  <c:v>2769</c:v>
                </c:pt>
                <c:pt idx="1">
                  <c:v>1890</c:v>
                </c:pt>
                <c:pt idx="2">
                  <c:v>520</c:v>
                </c:pt>
                <c:pt idx="3">
                  <c:v>0</c:v>
                </c:pt>
                <c:pt idx="4">
                  <c:v>159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A8-6E41-AAA3-2CED2C467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3415792"/>
        <c:axId val="213411168"/>
      </c:barChart>
      <c:catAx>
        <c:axId val="213415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1168"/>
        <c:crosses val="autoZero"/>
        <c:auto val="1"/>
        <c:lblAlgn val="ctr"/>
        <c:lblOffset val="100"/>
        <c:noMultiLvlLbl val="0"/>
      </c:catAx>
      <c:valAx>
        <c:axId val="21341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 of Income per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'Financial Summary'!$I$2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'Financial Summary'!$H$3:$H$8</c:f>
              <c:strCache>
                <c:ptCount val="6"/>
                <c:pt idx="0">
                  <c:v>Totals</c:v>
                </c:pt>
                <c:pt idx="1">
                  <c:v>Paycheck</c:v>
                </c:pt>
                <c:pt idx="2">
                  <c:v>E-Transfer</c:v>
                </c:pt>
                <c:pt idx="3">
                  <c:v>Savings</c:v>
                </c:pt>
                <c:pt idx="4">
                  <c:v>Interest</c:v>
                </c:pt>
                <c:pt idx="5">
                  <c:v>Other</c:v>
                </c:pt>
              </c:strCache>
            </c:strRef>
          </c:cat>
          <c:val>
            <c:numRef>
              <c:f>'Financial Summary'!$I$3:$I$8</c:f>
              <c:numCache>
                <c:formatCode>General</c:formatCode>
                <c:ptCount val="6"/>
                <c:pt idx="0">
                  <c:v>2200</c:v>
                </c:pt>
                <c:pt idx="1">
                  <c:v>1800</c:v>
                </c:pt>
                <c:pt idx="2">
                  <c:v>200</c:v>
                </c:pt>
                <c:pt idx="3">
                  <c:v>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3-A24D-801B-50460376CDC0}"/>
            </c:ext>
          </c:extLst>
        </c:ser>
        <c:ser>
          <c:idx val="1"/>
          <c:order val="1"/>
          <c:tx>
            <c:strRef>
              <c:f>'Financial Summary'!$J$2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'Financial Summary'!$H$3:$H$8</c:f>
              <c:strCache>
                <c:ptCount val="6"/>
                <c:pt idx="0">
                  <c:v>Totals</c:v>
                </c:pt>
                <c:pt idx="1">
                  <c:v>Paycheck</c:v>
                </c:pt>
                <c:pt idx="2">
                  <c:v>E-Transfer</c:v>
                </c:pt>
                <c:pt idx="3">
                  <c:v>Savings</c:v>
                </c:pt>
                <c:pt idx="4">
                  <c:v>Interest</c:v>
                </c:pt>
                <c:pt idx="5">
                  <c:v>Other</c:v>
                </c:pt>
              </c:strCache>
            </c:strRef>
          </c:cat>
          <c:val>
            <c:numRef>
              <c:f>'Financial Summary'!$J$3:$J$8</c:f>
              <c:numCache>
                <c:formatCode>General</c:formatCode>
                <c:ptCount val="6"/>
                <c:pt idx="0">
                  <c:v>2769</c:v>
                </c:pt>
                <c:pt idx="1">
                  <c:v>1890</c:v>
                </c:pt>
                <c:pt idx="2">
                  <c:v>520</c:v>
                </c:pt>
                <c:pt idx="3">
                  <c:v>0</c:v>
                </c:pt>
                <c:pt idx="4">
                  <c:v>159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3-A24D-801B-50460376C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Planned vs Actual Expenses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'Financial Summary'!$D$2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'Financial Summary'!$C$3</c:f>
              <c:strCache>
                <c:ptCount val="1"/>
                <c:pt idx="0">
                  <c:v>Totals</c:v>
                </c:pt>
              </c:strCache>
            </c:strRef>
          </c:cat>
          <c:val>
            <c:numRef>
              <c:f>'Financial Summary'!$D$3</c:f>
              <c:numCache>
                <c:formatCode>General</c:formatCode>
                <c:ptCount val="1"/>
                <c:pt idx="0">
                  <c:v>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8-A74F-BE46-1631F0BBF4AD}"/>
            </c:ext>
          </c:extLst>
        </c:ser>
        <c:ser>
          <c:idx val="1"/>
          <c:order val="1"/>
          <c:tx>
            <c:strRef>
              <c:f>'Financial Summary'!$E$2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'Financial Summary'!$C$3</c:f>
              <c:strCache>
                <c:ptCount val="1"/>
                <c:pt idx="0">
                  <c:v>Totals</c:v>
                </c:pt>
              </c:strCache>
            </c:strRef>
          </c:cat>
          <c:val>
            <c:numRef>
              <c:f>'Financial Summary'!$E$3</c:f>
              <c:numCache>
                <c:formatCode>General</c:formatCode>
                <c:ptCount val="1"/>
                <c:pt idx="0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E8-A74F-BE46-1631F0BB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60384"/>
        <c:axId val="212928896"/>
      </c:barChart>
      <c:catAx>
        <c:axId val="21296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28896"/>
        <c:crosses val="autoZero"/>
        <c:auto val="1"/>
        <c:lblAlgn val="ctr"/>
        <c:lblOffset val="100"/>
        <c:noMultiLvlLbl val="0"/>
      </c:catAx>
      <c:valAx>
        <c:axId val="2129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Planned vs Actual Income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'Financial Summary'!$I$2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'Financial Summary'!$H$3</c:f>
              <c:strCache>
                <c:ptCount val="1"/>
                <c:pt idx="0">
                  <c:v>Totals</c:v>
                </c:pt>
              </c:strCache>
            </c:strRef>
          </c:cat>
          <c:val>
            <c:numRef>
              <c:f>'Financial Summary'!$I$3</c:f>
              <c:numCache>
                <c:formatCode>General</c:formatCode>
                <c:ptCount val="1"/>
                <c:pt idx="0">
                  <c:v>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8-4040-BC60-1B7C9D8D6331}"/>
            </c:ext>
          </c:extLst>
        </c:ser>
        <c:ser>
          <c:idx val="1"/>
          <c:order val="1"/>
          <c:tx>
            <c:strRef>
              <c:f>'Financial Summary'!$J$2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'Financial Summary'!$H$3</c:f>
              <c:strCache>
                <c:ptCount val="1"/>
                <c:pt idx="0">
                  <c:v>Totals</c:v>
                </c:pt>
              </c:strCache>
            </c:strRef>
          </c:cat>
          <c:val>
            <c:numRef>
              <c:f>'Financial Summary'!$J$3</c:f>
              <c:numCache>
                <c:formatCode>General</c:formatCode>
                <c:ptCount val="1"/>
                <c:pt idx="0">
                  <c:v>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18-4040-BC60-1B7C9D8D6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451104"/>
        <c:axId val="213452832"/>
      </c:barChart>
      <c:catAx>
        <c:axId val="21345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52832"/>
        <c:crosses val="autoZero"/>
        <c:auto val="1"/>
        <c:lblAlgn val="ctr"/>
        <c:lblOffset val="100"/>
        <c:noMultiLvlLbl val="0"/>
      </c:catAx>
      <c:valAx>
        <c:axId val="2134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5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Starting vs Current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'Financial Summary'!$H$11</c:f>
              <c:strCache>
                <c:ptCount val="1"/>
                <c:pt idx="0">
                  <c:v>Starting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'Financial Summary'!$H$12</c:f>
              <c:numCache>
                <c:formatCode>General</c:formatCode>
                <c:ptCount val="1"/>
                <c:pt idx="0">
                  <c:v>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1-E544-9CC7-9B73EFE8E709}"/>
            </c:ext>
          </c:extLst>
        </c:ser>
        <c:ser>
          <c:idx val="1"/>
          <c:order val="1"/>
          <c:tx>
            <c:strRef>
              <c:f>'Financial Summary'!$I$11</c:f>
              <c:strCache>
                <c:ptCount val="1"/>
                <c:pt idx="0">
                  <c:v>Final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'Financial Summary'!$I$12</c:f>
              <c:numCache>
                <c:formatCode>General</c:formatCode>
                <c:ptCount val="1"/>
                <c:pt idx="0">
                  <c:v>4563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1-E544-9CC7-9B73EFE8E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468944"/>
        <c:axId val="213470944"/>
      </c:barChart>
      <c:catAx>
        <c:axId val="21346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70944"/>
        <c:crosses val="autoZero"/>
        <c:auto val="1"/>
        <c:lblAlgn val="ctr"/>
        <c:lblOffset val="100"/>
        <c:noMultiLvlLbl val="0"/>
      </c:catAx>
      <c:valAx>
        <c:axId val="2134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292100</xdr:colOff>
          <xdr:row>13</xdr:row>
          <xdr:rowOff>177800</xdr:rowOff>
        </xdr:from>
        <xdr:to>
          <xdr:col>19</xdr:col>
          <xdr:colOff>330200</xdr:colOff>
          <xdr:row>26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9436" rIns="73152" bIns="59436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Artifakt Element Light"/>
                </a:rPr>
                <a:t>Get Started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12</xdr:row>
          <xdr:rowOff>0</xdr:rowOff>
        </xdr:from>
        <xdr:to>
          <xdr:col>6</xdr:col>
          <xdr:colOff>368300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6</xdr:row>
          <xdr:rowOff>177800</xdr:rowOff>
        </xdr:from>
        <xdr:to>
          <xdr:col>6</xdr:col>
          <xdr:colOff>330200</xdr:colOff>
          <xdr:row>8</xdr:row>
          <xdr:rowOff>165100</xdr:rowOff>
        </xdr:to>
        <xdr:sp macro="" textlink="">
          <xdr:nvSpPr>
            <xdr:cNvPr id="1027" name="AddExpen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9</xdr:row>
          <xdr:rowOff>101600</xdr:rowOff>
        </xdr:from>
        <xdr:to>
          <xdr:col>6</xdr:col>
          <xdr:colOff>355600</xdr:colOff>
          <xdr:row>11</xdr:row>
          <xdr:rowOff>101600</xdr:rowOff>
        </xdr:to>
        <xdr:sp macro="" textlink="">
          <xdr:nvSpPr>
            <xdr:cNvPr id="1028" name="AddInco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330200</xdr:colOff>
          <xdr:row>1</xdr:row>
          <xdr:rowOff>177800</xdr:rowOff>
        </xdr:from>
        <xdr:to>
          <xdr:col>17</xdr:col>
          <xdr:colOff>254000</xdr:colOff>
          <xdr:row>4</xdr:row>
          <xdr:rowOff>152400</xdr:rowOff>
        </xdr:to>
        <xdr:sp macro="" textlink="">
          <xdr:nvSpPr>
            <xdr:cNvPr id="1029" name="PlannedExpens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Planned Expense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330200</xdr:colOff>
          <xdr:row>5</xdr:row>
          <xdr:rowOff>63500</xdr:rowOff>
        </xdr:from>
        <xdr:to>
          <xdr:col>17</xdr:col>
          <xdr:colOff>254000</xdr:colOff>
          <xdr:row>8</xdr:row>
          <xdr:rowOff>38100</xdr:rowOff>
        </xdr:to>
        <xdr:sp macro="" textlink="">
          <xdr:nvSpPr>
            <xdr:cNvPr id="1030" name="PlannedIncom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Planned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292100</xdr:colOff>
          <xdr:row>3</xdr:row>
          <xdr:rowOff>139700</xdr:rowOff>
        </xdr:from>
        <xdr:to>
          <xdr:col>6</xdr:col>
          <xdr:colOff>342900</xdr:colOff>
          <xdr:row>6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Enter Starting Balance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11</xdr:row>
          <xdr:rowOff>127000</xdr:rowOff>
        </xdr:from>
        <xdr:to>
          <xdr:col>1</xdr:col>
          <xdr:colOff>368300</xdr:colOff>
          <xdr:row>15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6</xdr:row>
          <xdr:rowOff>76200</xdr:rowOff>
        </xdr:from>
        <xdr:to>
          <xdr:col>1</xdr:col>
          <xdr:colOff>368300</xdr:colOff>
          <xdr:row>9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177800</xdr:rowOff>
        </xdr:from>
        <xdr:to>
          <xdr:col>1</xdr:col>
          <xdr:colOff>457200</xdr:colOff>
          <xdr:row>3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4</xdr:row>
          <xdr:rowOff>12700</xdr:rowOff>
        </xdr:from>
        <xdr:to>
          <xdr:col>1</xdr:col>
          <xdr:colOff>457200</xdr:colOff>
          <xdr:row>6</xdr:row>
          <xdr:rowOff>63500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7</xdr:row>
          <xdr:rowOff>177800</xdr:rowOff>
        </xdr:from>
        <xdr:to>
          <xdr:col>1</xdr:col>
          <xdr:colOff>457200</xdr:colOff>
          <xdr:row>10</xdr:row>
          <xdr:rowOff>177800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Financial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13</xdr:row>
      <xdr:rowOff>0</xdr:rowOff>
    </xdr:from>
    <xdr:to>
      <xdr:col>6</xdr:col>
      <xdr:colOff>0</xdr:colOff>
      <xdr:row>30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4A115A8B-584F-8468-CB33-DD7E3BE1E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6</xdr:col>
      <xdr:colOff>0</xdr:colOff>
      <xdr:row>48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35573F22-20C2-0B5B-CE0F-79C4BFBC4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12</xdr:col>
      <xdr:colOff>0</xdr:colOff>
      <xdr:row>30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E0A7D0D-57E7-7F52-29EC-E77484797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4FA95809-5812-D993-1169-0A3AD9D66F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683BE76-85BE-A11F-96D5-4FF106B01A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1</xdr:row>
      <xdr:rowOff>0</xdr:rowOff>
    </xdr:from>
    <xdr:to>
      <xdr:col>24</xdr:col>
      <xdr:colOff>0</xdr:colOff>
      <xdr:row>18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5C5A7F2D-F1F2-C647-6171-BA0A21948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0</xdr:colOff>
      <xdr:row>37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53181EB-FDA9-3111-90BA-4FAAED7F5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4889500</xdr:colOff>
          <xdr:row>0</xdr:row>
          <xdr:rowOff>38100</xdr:rowOff>
        </xdr:from>
        <xdr:to>
          <xdr:col>2</xdr:col>
          <xdr:colOff>241300</xdr:colOff>
          <xdr:row>0</xdr:row>
          <xdr:rowOff>482600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F9EF06-C117-434A-ABE9-A5D9145279EF}" name="Table44" displayName="Table44" ref="C2:F11" totalsRowShown="0">
  <autoFilter ref="C2:F11" xr:uid="{16F9EF06-C117-434A-ABE9-A5D9145279EF}"/>
  <tableColumns count="4">
    <tableColumn id="1" xr3:uid="{3BEBE546-26B9-4C8A-B1D6-B994D073889F}" name="Categories"/>
    <tableColumn id="2" xr3:uid="{CFCE1274-B52A-44BE-9B31-413A9603A81D}" name="Planned" dataDxfId="3">
      <calculatedColumnFormula>'Expenses&amp;Incomes'!O2</calculatedColumnFormula>
    </tableColumn>
    <tableColumn id="3" xr3:uid="{FCADA9EA-B20A-48FC-8FDF-377D6CCD906D}" name="Actual">
      <calculatedColumnFormula>SUMIF('Expenses&amp;Incomes'!C$3:C$1001,C3, 'Expenses&amp;Incomes'!D$3:D$1001)</calculatedColumnFormula>
    </tableColumn>
    <tableColumn id="4" xr3:uid="{DD49D03D-10C9-4FEE-8E49-BF0657E975A5}" name="Difference" dataDxfId="2">
      <calculatedColumnFormula>Table44[[#This Row],[Planned]]-Table44[[#This Row],[Actual]]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93E7E6-C66F-4295-9A52-551FE915803F}" name="Table57" displayName="Table57" ref="H2:K8" totalsRowShown="0">
  <autoFilter ref="H2:K8" xr:uid="{7993E7E6-C66F-4295-9A52-551FE915803F}"/>
  <tableColumns count="4">
    <tableColumn id="1" xr3:uid="{7832EA0B-0A74-40DD-8100-ECD0AC24796F}" name="Categories"/>
    <tableColumn id="2" xr3:uid="{CCC2C12E-6E6C-4331-AC92-19A2569C91B0}" name="Planned" dataDxfId="1">
      <calculatedColumnFormula>'Expenses&amp;Incomes'!T2</calculatedColumnFormula>
    </tableColumn>
    <tableColumn id="3" xr3:uid="{7EDEABB4-527B-48C3-8D75-7726BC877288}" name="Actual">
      <calculatedColumnFormula>SUMIF('Expenses&amp;Incomes'!J$3:J$1001,H3, 'Expenses&amp;Incomes'!K$3:K$1001)</calculatedColumnFormula>
    </tableColumn>
    <tableColumn id="4" xr3:uid="{AA0EA061-6831-4C89-969A-8EFE2F25CCD5}" name="Difference" dataDxfId="0">
      <calculatedColumnFormula>Table57[[#This Row],[Actual]]-Table57[[#This Row],[Planned]]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290CD4-F702-4871-AA76-D089CF0BEFD1}" name="Table1" displayName="Table1" ref="H11:I12" totalsRowShown="0">
  <autoFilter ref="H11:I12" xr:uid="{74290CD4-F702-4871-AA76-D089CF0BEFD1}"/>
  <tableColumns count="2">
    <tableColumn id="1" xr3:uid="{5FF66183-A0A3-4A47-81F6-8293C8B7F36D}" name="Starting">
      <calculatedColumnFormula>'Expenses&amp;Incomes'!F2</calculatedColumnFormula>
    </tableColumn>
    <tableColumn id="2" xr3:uid="{B8E50232-4159-4559-AA36-E15DA9A3A589}" name="Final">
      <calculatedColumnFormula>Table1[Starting]+J3-E3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0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C208-B5FC-414D-9FCF-3DF0F66A3054}">
  <sheetPr codeName="Sheet5"/>
  <dimension ref="I10:V28"/>
  <sheetViews>
    <sheetView topLeftCell="A3" workbookViewId="0">
      <selection activeCell="F13" sqref="F13"/>
    </sheetView>
  </sheetViews>
  <sheetFormatPr baseColWidth="10" defaultColWidth="9.1640625" defaultRowHeight="15"/>
  <cols>
    <col min="1" max="16384" width="9.1640625" style="37"/>
  </cols>
  <sheetData>
    <row r="10" spans="9:22" ht="16" thickBot="1"/>
    <row r="11" spans="9:22" ht="16" thickBot="1">
      <c r="I11" s="42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4"/>
    </row>
    <row r="12" spans="9:22" ht="15" customHeight="1">
      <c r="I12" s="45"/>
      <c r="J12" s="54" t="s">
        <v>68</v>
      </c>
      <c r="K12" s="55"/>
      <c r="L12" s="55"/>
      <c r="M12" s="55"/>
      <c r="N12" s="55"/>
      <c r="O12" s="55"/>
      <c r="P12" s="55"/>
      <c r="Q12" s="55"/>
      <c r="R12" s="55"/>
      <c r="S12" s="55"/>
      <c r="T12" s="56"/>
      <c r="U12" s="46"/>
    </row>
    <row r="13" spans="9:22" ht="16" thickBot="1">
      <c r="I13" s="45"/>
      <c r="J13" s="57"/>
      <c r="K13" s="58"/>
      <c r="L13" s="58"/>
      <c r="M13" s="58"/>
      <c r="N13" s="58"/>
      <c r="O13" s="58"/>
      <c r="P13" s="58"/>
      <c r="Q13" s="58"/>
      <c r="R13" s="58"/>
      <c r="S13" s="58"/>
      <c r="T13" s="59"/>
      <c r="U13" s="46"/>
    </row>
    <row r="14" spans="9:22" ht="15" customHeight="1">
      <c r="I14" s="47"/>
      <c r="J14" s="38"/>
      <c r="K14" s="39"/>
      <c r="L14" s="39"/>
      <c r="M14" s="39"/>
      <c r="N14" s="39"/>
      <c r="O14" s="39"/>
      <c r="P14" s="39"/>
      <c r="Q14" s="39"/>
      <c r="R14" s="39"/>
      <c r="S14" s="39"/>
      <c r="T14" s="38"/>
      <c r="U14" s="48"/>
      <c r="V14" s="41"/>
    </row>
    <row r="15" spans="9:22" ht="15" customHeight="1">
      <c r="I15" s="49"/>
      <c r="J15" s="38"/>
      <c r="K15" s="39"/>
      <c r="L15" s="39"/>
      <c r="M15" s="39"/>
      <c r="N15" s="39"/>
      <c r="O15" s="39"/>
      <c r="P15" s="39"/>
      <c r="Q15" s="39"/>
      <c r="R15" s="39"/>
      <c r="S15" s="39"/>
      <c r="T15" s="38"/>
      <c r="U15" s="50"/>
    </row>
    <row r="16" spans="9:22">
      <c r="I16" s="47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48"/>
    </row>
    <row r="17" spans="9:21">
      <c r="I17" s="47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48"/>
    </row>
    <row r="18" spans="9:21">
      <c r="I18" s="47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48"/>
    </row>
    <row r="19" spans="9:21">
      <c r="I19" s="47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48"/>
    </row>
    <row r="20" spans="9:21">
      <c r="I20" s="47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48"/>
    </row>
    <row r="21" spans="9:21">
      <c r="I21" s="47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48"/>
    </row>
    <row r="22" spans="9:21">
      <c r="I22" s="47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48"/>
    </row>
    <row r="23" spans="9:21">
      <c r="I23" s="47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48"/>
    </row>
    <row r="24" spans="9:21">
      <c r="I24" s="47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48"/>
    </row>
    <row r="25" spans="9:21">
      <c r="I25" s="47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48"/>
    </row>
    <row r="26" spans="9:21">
      <c r="I26" s="47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48"/>
    </row>
    <row r="27" spans="9:21" ht="16" thickBot="1">
      <c r="I27" s="47"/>
      <c r="J27" s="30"/>
      <c r="K27" s="40"/>
      <c r="L27" s="40"/>
      <c r="M27" s="40"/>
      <c r="N27" s="40"/>
      <c r="O27" s="40"/>
      <c r="P27" s="40"/>
      <c r="Q27" s="40"/>
      <c r="R27" s="40"/>
      <c r="S27" s="40"/>
      <c r="T27" s="30"/>
      <c r="U27" s="48"/>
    </row>
    <row r="28" spans="9:21" ht="24" customHeight="1" thickBot="1">
      <c r="I28" s="51"/>
      <c r="J28" s="52"/>
      <c r="K28" s="60" t="s">
        <v>69</v>
      </c>
      <c r="L28" s="61"/>
      <c r="M28" s="61"/>
      <c r="N28" s="61"/>
      <c r="O28" s="61"/>
      <c r="P28" s="61"/>
      <c r="Q28" s="61"/>
      <c r="R28" s="61"/>
      <c r="S28" s="62"/>
      <c r="T28" s="52"/>
      <c r="U28" s="53"/>
    </row>
  </sheetData>
  <mergeCells count="2">
    <mergeCell ref="J12:T13"/>
    <mergeCell ref="K28:S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9</xdr:col>
                    <xdr:colOff>292100</xdr:colOff>
                    <xdr:row>13</xdr:row>
                    <xdr:rowOff>177800</xdr:rowOff>
                  </from>
                  <to>
                    <xdr:col>19</xdr:col>
                    <xdr:colOff>330200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6"/>
  <sheetViews>
    <sheetView workbookViewId="0">
      <selection activeCell="F24" sqref="F24"/>
    </sheetView>
  </sheetViews>
  <sheetFormatPr baseColWidth="10" defaultColWidth="9.1640625" defaultRowHeight="15"/>
  <cols>
    <col min="1" max="1" width="12.6640625" style="18" bestFit="1" customWidth="1"/>
    <col min="2" max="2" width="24.5" style="18" bestFit="1" customWidth="1"/>
    <col min="3" max="3" width="16.5" style="18" bestFit="1" customWidth="1"/>
    <col min="4" max="4" width="11.33203125" style="18" bestFit="1" customWidth="1"/>
    <col min="5" max="5" width="9.1640625" style="2"/>
    <col min="6" max="6" width="38" style="2" bestFit="1" customWidth="1"/>
    <col min="7" max="7" width="9.1640625" style="2"/>
    <col min="8" max="8" width="12.5" style="18" bestFit="1" customWidth="1"/>
    <col min="9" max="9" width="24.33203125" style="18" bestFit="1" customWidth="1"/>
    <col min="10" max="10" width="14" style="18" bestFit="1" customWidth="1"/>
    <col min="11" max="11" width="10.33203125" style="18" customWidth="1"/>
    <col min="12" max="13" width="9.1640625" style="2"/>
    <col min="14" max="14" width="14.83203125" style="2" bestFit="1" customWidth="1"/>
    <col min="15" max="15" width="18" style="2" customWidth="1"/>
    <col min="16" max="16" width="10" style="2" bestFit="1" customWidth="1"/>
    <col min="17" max="18" width="10" style="2" customWidth="1"/>
    <col min="19" max="19" width="11" style="2" customWidth="1"/>
    <col min="20" max="20" width="18" style="2" customWidth="1"/>
    <col min="21" max="16384" width="9.1640625" style="2"/>
  </cols>
  <sheetData>
    <row r="1" spans="1:20" s="25" customFormat="1" ht="32" thickBot="1">
      <c r="A1" s="24" t="s">
        <v>8</v>
      </c>
      <c r="F1" s="20" t="s">
        <v>41</v>
      </c>
      <c r="H1" s="25" t="s">
        <v>7</v>
      </c>
      <c r="N1" s="25" t="s">
        <v>64</v>
      </c>
      <c r="S1" s="25" t="s">
        <v>65</v>
      </c>
    </row>
    <row r="2" spans="1:20" ht="19" thickBot="1">
      <c r="A2" s="21" t="s">
        <v>0</v>
      </c>
      <c r="B2" s="21" t="s">
        <v>3</v>
      </c>
      <c r="C2" s="21" t="s">
        <v>2</v>
      </c>
      <c r="D2" s="21" t="s">
        <v>6</v>
      </c>
      <c r="E2" s="19"/>
      <c r="F2" s="26">
        <v>2343</v>
      </c>
      <c r="H2" s="21" t="s">
        <v>0</v>
      </c>
      <c r="I2" s="21" t="s">
        <v>3</v>
      </c>
      <c r="J2" s="21" t="s">
        <v>2</v>
      </c>
      <c r="K2" s="21" t="s">
        <v>6</v>
      </c>
      <c r="N2" s="22" t="s">
        <v>2</v>
      </c>
      <c r="O2" s="23" t="s">
        <v>27</v>
      </c>
      <c r="S2" s="22" t="s">
        <v>2</v>
      </c>
      <c r="T2" s="23" t="s">
        <v>27</v>
      </c>
    </row>
    <row r="3" spans="1:20">
      <c r="A3" s="17">
        <v>44870</v>
      </c>
      <c r="B3" s="18" t="s">
        <v>13</v>
      </c>
      <c r="C3" s="18" t="s">
        <v>15</v>
      </c>
      <c r="D3" s="18">
        <v>15</v>
      </c>
      <c r="H3" s="17">
        <v>44880</v>
      </c>
      <c r="I3" s="18" t="s">
        <v>35</v>
      </c>
      <c r="J3" s="18" t="s">
        <v>22</v>
      </c>
      <c r="K3" s="18">
        <v>1890</v>
      </c>
      <c r="N3" s="7" t="s">
        <v>15</v>
      </c>
      <c r="O3" s="8">
        <v>200</v>
      </c>
      <c r="S3" s="11" t="s">
        <v>22</v>
      </c>
      <c r="T3" s="12">
        <v>1800</v>
      </c>
    </row>
    <row r="4" spans="1:20">
      <c r="A4" s="17">
        <v>44870</v>
      </c>
      <c r="B4" s="18" t="s">
        <v>13</v>
      </c>
      <c r="C4" s="18" t="s">
        <v>15</v>
      </c>
      <c r="D4" s="18">
        <v>15</v>
      </c>
      <c r="H4" s="17">
        <v>44882</v>
      </c>
      <c r="I4" s="18" t="s">
        <v>36</v>
      </c>
      <c r="J4" s="18" t="s">
        <v>23</v>
      </c>
      <c r="K4" s="18">
        <v>20</v>
      </c>
      <c r="N4" s="13" t="s">
        <v>14</v>
      </c>
      <c r="O4" s="14">
        <v>250</v>
      </c>
      <c r="S4" s="9" t="s">
        <v>23</v>
      </c>
      <c r="T4" s="10">
        <v>200</v>
      </c>
    </row>
    <row r="5" spans="1:20">
      <c r="A5" s="17">
        <v>44870</v>
      </c>
      <c r="B5" s="18" t="s">
        <v>13</v>
      </c>
      <c r="C5" s="18" t="s">
        <v>15</v>
      </c>
      <c r="D5" s="18">
        <v>15</v>
      </c>
      <c r="H5" s="17">
        <v>44883</v>
      </c>
      <c r="I5" s="18" t="s">
        <v>37</v>
      </c>
      <c r="J5" s="18" t="s">
        <v>21</v>
      </c>
      <c r="K5" s="18">
        <v>200</v>
      </c>
      <c r="N5" s="11" t="s">
        <v>16</v>
      </c>
      <c r="O5" s="12">
        <v>135</v>
      </c>
      <c r="S5" s="11" t="s">
        <v>24</v>
      </c>
      <c r="T5" s="12"/>
    </row>
    <row r="6" spans="1:20">
      <c r="A6" s="17">
        <v>44872</v>
      </c>
      <c r="B6" s="18" t="s">
        <v>28</v>
      </c>
      <c r="C6" s="18" t="s">
        <v>16</v>
      </c>
      <c r="D6" s="18">
        <v>90</v>
      </c>
      <c r="H6" s="17">
        <v>44887</v>
      </c>
      <c r="I6" s="18" t="s">
        <v>38</v>
      </c>
      <c r="J6" s="18" t="s">
        <v>23</v>
      </c>
      <c r="K6" s="18">
        <v>500</v>
      </c>
      <c r="N6" s="9" t="s">
        <v>17</v>
      </c>
      <c r="O6" s="10">
        <v>45</v>
      </c>
      <c r="S6" s="9" t="s">
        <v>25</v>
      </c>
      <c r="T6" s="10">
        <v>200</v>
      </c>
    </row>
    <row r="7" spans="1:20">
      <c r="A7" s="17">
        <v>44880</v>
      </c>
      <c r="B7" s="18" t="s">
        <v>29</v>
      </c>
      <c r="C7" s="18" t="s">
        <v>17</v>
      </c>
      <c r="D7" s="18">
        <v>63</v>
      </c>
      <c r="H7" s="17">
        <v>44890</v>
      </c>
      <c r="I7" s="18" t="s">
        <v>39</v>
      </c>
      <c r="J7" s="18" t="s">
        <v>25</v>
      </c>
      <c r="K7" s="18">
        <v>159</v>
      </c>
      <c r="N7" s="11" t="s">
        <v>18</v>
      </c>
      <c r="O7" s="12">
        <v>100</v>
      </c>
      <c r="S7" s="11" t="s">
        <v>21</v>
      </c>
      <c r="T7" s="12"/>
    </row>
    <row r="8" spans="1:20">
      <c r="A8" s="17">
        <v>44881</v>
      </c>
      <c r="B8" s="18" t="s">
        <v>30</v>
      </c>
      <c r="C8" s="18" t="s">
        <v>18</v>
      </c>
      <c r="D8" s="18">
        <v>120</v>
      </c>
      <c r="N8" s="9" t="s">
        <v>19</v>
      </c>
      <c r="O8" s="10"/>
    </row>
    <row r="9" spans="1:20">
      <c r="A9" s="17">
        <v>44882</v>
      </c>
      <c r="B9" s="18" t="s">
        <v>31</v>
      </c>
      <c r="C9" s="18" t="s">
        <v>15</v>
      </c>
      <c r="D9" s="18">
        <v>12</v>
      </c>
      <c r="N9" s="11" t="s">
        <v>20</v>
      </c>
      <c r="O9" s="12"/>
    </row>
    <row r="10" spans="1:20">
      <c r="A10" s="17">
        <v>44882</v>
      </c>
      <c r="B10" s="18" t="s">
        <v>31</v>
      </c>
      <c r="C10" s="18" t="s">
        <v>15</v>
      </c>
      <c r="D10" s="18">
        <v>12</v>
      </c>
      <c r="N10" s="9" t="s">
        <v>21</v>
      </c>
      <c r="O10" s="10"/>
    </row>
    <row r="11" spans="1:20">
      <c r="A11" s="17">
        <v>44882</v>
      </c>
      <c r="B11" s="18" t="s">
        <v>31</v>
      </c>
      <c r="C11" s="18" t="s">
        <v>15</v>
      </c>
      <c r="D11" s="18">
        <v>12</v>
      </c>
      <c r="N11" s="16"/>
    </row>
    <row r="12" spans="1:20">
      <c r="A12" s="17">
        <v>44883</v>
      </c>
      <c r="B12" s="18" t="s">
        <v>32</v>
      </c>
      <c r="C12" s="18" t="s">
        <v>15</v>
      </c>
      <c r="D12" s="18">
        <v>10</v>
      </c>
      <c r="M12" s="15"/>
    </row>
    <row r="13" spans="1:20">
      <c r="A13" s="17">
        <v>44885</v>
      </c>
      <c r="B13" s="18" t="s">
        <v>33</v>
      </c>
      <c r="C13" s="18" t="s">
        <v>14</v>
      </c>
      <c r="D13" s="18">
        <v>70</v>
      </c>
    </row>
    <row r="14" spans="1:20">
      <c r="A14" s="17">
        <v>44887</v>
      </c>
      <c r="B14" s="18" t="s">
        <v>34</v>
      </c>
      <c r="C14" s="18" t="s">
        <v>14</v>
      </c>
      <c r="D14" s="18">
        <v>115</v>
      </c>
    </row>
    <row r="17" spans="1:15">
      <c r="A17" s="17"/>
      <c r="O17" s="16"/>
    </row>
    <row r="18" spans="1:15">
      <c r="A18" s="17"/>
    </row>
    <row r="19" spans="1:15">
      <c r="A19" s="17"/>
    </row>
    <row r="20" spans="1:15">
      <c r="A20" s="17"/>
    </row>
    <row r="21" spans="1:15">
      <c r="A21" s="17"/>
    </row>
    <row r="22" spans="1:15">
      <c r="A22" s="17"/>
    </row>
    <row r="23" spans="1:15">
      <c r="A23" s="17"/>
    </row>
    <row r="24" spans="1:15">
      <c r="A24" s="17"/>
    </row>
    <row r="25" spans="1:15">
      <c r="A25" s="17"/>
    </row>
    <row r="26" spans="1:15">
      <c r="A26" s="17"/>
    </row>
    <row r="27" spans="1:15">
      <c r="A27" s="17"/>
    </row>
    <row r="28" spans="1:15">
      <c r="A28" s="17"/>
    </row>
    <row r="29" spans="1:15">
      <c r="A29" s="17"/>
    </row>
    <row r="30" spans="1:15">
      <c r="A30" s="17"/>
    </row>
    <row r="31" spans="1:15">
      <c r="A31" s="17"/>
    </row>
    <row r="32" spans="1:15">
      <c r="A32" s="17"/>
    </row>
    <row r="33" spans="1:1">
      <c r="A33" s="17"/>
    </row>
    <row r="34" spans="1:1">
      <c r="A34" s="17"/>
    </row>
    <row r="35" spans="1:1">
      <c r="A35" s="17"/>
    </row>
    <row r="36" spans="1:1">
      <c r="A36" s="1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4</xdr:col>
                    <xdr:colOff>266700</xdr:colOff>
                    <xdr:row>12</xdr:row>
                    <xdr:rowOff>0</xdr:rowOff>
                  </from>
                  <to>
                    <xdr:col>6</xdr:col>
                    <xdr:colOff>368300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AddExpense">
              <controlPr defaultSize="0" print="0" autoFill="0" autoPict="0" macro="[0]!AddExpense_Click">
                <anchor moveWithCells="1" sizeWithCells="1">
                  <from>
                    <xdr:col>4</xdr:col>
                    <xdr:colOff>292100</xdr:colOff>
                    <xdr:row>6</xdr:row>
                    <xdr:rowOff>177800</xdr:rowOff>
                  </from>
                  <to>
                    <xdr:col>6</xdr:col>
                    <xdr:colOff>330200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AddIncome">
              <controlPr defaultSize="0" print="0" autoFill="0" autoPict="0" macro="[0]!AddIncome_Click">
                <anchor moveWithCells="1" sizeWithCells="1">
                  <from>
                    <xdr:col>4</xdr:col>
                    <xdr:colOff>279400</xdr:colOff>
                    <xdr:row>9</xdr:row>
                    <xdr:rowOff>101600</xdr:rowOff>
                  </from>
                  <to>
                    <xdr:col>6</xdr:col>
                    <xdr:colOff>355600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PlannedExpense">
              <controlPr defaultSize="0" print="0" autoFill="0" autoPict="0" macro="[0]!PlannedExpense_Click">
                <anchor moveWithCells="1" sizeWithCells="1">
                  <from>
                    <xdr:col>15</xdr:col>
                    <xdr:colOff>330200</xdr:colOff>
                    <xdr:row>1</xdr:row>
                    <xdr:rowOff>177800</xdr:rowOff>
                  </from>
                  <to>
                    <xdr:col>17</xdr:col>
                    <xdr:colOff>254000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PlannedIncome">
              <controlPr defaultSize="0" print="0" autoFill="0" autoPict="0" macro="[0]!PlannedIncome_Click">
                <anchor moveWithCells="1" sizeWithCells="1">
                  <from>
                    <xdr:col>15</xdr:col>
                    <xdr:colOff>330200</xdr:colOff>
                    <xdr:row>5</xdr:row>
                    <xdr:rowOff>63500</xdr:rowOff>
                  </from>
                  <to>
                    <xdr:col>17</xdr:col>
                    <xdr:colOff>254000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EnterBalance">
                <anchor moveWithCells="1" sizeWithCells="1">
                  <from>
                    <xdr:col>4</xdr:col>
                    <xdr:colOff>292100</xdr:colOff>
                    <xdr:row>3</xdr:row>
                    <xdr:rowOff>139700</xdr:rowOff>
                  </from>
                  <to>
                    <xdr:col>6</xdr:col>
                    <xdr:colOff>342900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L52"/>
  <sheetViews>
    <sheetView zoomScaleNormal="100" workbookViewId="0">
      <selection activeCell="D36" sqref="D36"/>
    </sheetView>
  </sheetViews>
  <sheetFormatPr baseColWidth="10" defaultColWidth="9.1640625" defaultRowHeight="15"/>
  <cols>
    <col min="1" max="1" width="18.1640625" style="31" customWidth="1"/>
    <col min="2" max="2" width="8.83203125"/>
    <col min="3" max="3" width="14.83203125" style="30" bestFit="1" customWidth="1"/>
    <col min="4" max="4" width="20.5" style="30" bestFit="1" customWidth="1"/>
    <col min="5" max="5" width="14.83203125" style="30" bestFit="1" customWidth="1"/>
    <col min="6" max="6" width="14" style="30" bestFit="1" customWidth="1"/>
    <col min="7" max="7" width="11" style="31" customWidth="1"/>
    <col min="8" max="8" width="12.6640625" style="30" bestFit="1" customWidth="1"/>
    <col min="9" max="9" width="24.33203125" style="30" bestFit="1" customWidth="1"/>
    <col min="10" max="10" width="11.1640625" style="30" bestFit="1" customWidth="1"/>
    <col min="11" max="11" width="14" style="30" bestFit="1" customWidth="1"/>
    <col min="12" max="13" width="10.5" style="31" bestFit="1" customWidth="1"/>
    <col min="14" max="14" width="24.5" style="31" bestFit="1" customWidth="1"/>
    <col min="15" max="15" width="11" style="31" customWidth="1"/>
    <col min="16" max="16" width="13.33203125" style="31" customWidth="1"/>
    <col min="17" max="17" width="9.1640625" style="31"/>
    <col min="18" max="18" width="14.83203125" style="31" bestFit="1" customWidth="1"/>
    <col min="19" max="19" width="9.1640625" style="31"/>
    <col min="20" max="20" width="11" style="31" customWidth="1"/>
    <col min="21" max="21" width="13.33203125" style="31" customWidth="1"/>
    <col min="22" max="16384" width="9.1640625" style="31"/>
  </cols>
  <sheetData>
    <row r="1" spans="1:12" s="34" customFormat="1" ht="32" thickBot="1">
      <c r="A1" s="33" t="s">
        <v>67</v>
      </c>
    </row>
    <row r="2" spans="1:12" ht="19">
      <c r="A2" s="35" t="s">
        <v>4</v>
      </c>
      <c r="B2" s="31"/>
      <c r="C2" s="35" t="s">
        <v>0</v>
      </c>
      <c r="D2" s="35" t="s">
        <v>1</v>
      </c>
      <c r="E2" s="35" t="s">
        <v>2</v>
      </c>
      <c r="F2" s="35" t="s">
        <v>3</v>
      </c>
      <c r="H2" s="35" t="s">
        <v>0</v>
      </c>
      <c r="I2" s="35" t="s">
        <v>1</v>
      </c>
      <c r="J2" s="35" t="s">
        <v>2</v>
      </c>
      <c r="K2" s="35" t="s">
        <v>3</v>
      </c>
    </row>
    <row r="3" spans="1:12">
      <c r="A3" s="29">
        <v>44866</v>
      </c>
      <c r="B3" s="31"/>
      <c r="C3" s="27">
        <v>44870</v>
      </c>
      <c r="D3" s="28" t="s">
        <v>13</v>
      </c>
      <c r="E3" s="28" t="s">
        <v>15</v>
      </c>
      <c r="F3" s="28">
        <v>15</v>
      </c>
      <c r="H3" s="27">
        <v>44880</v>
      </c>
      <c r="I3" s="28" t="s">
        <v>35</v>
      </c>
      <c r="J3" s="28" t="s">
        <v>22</v>
      </c>
      <c r="K3" s="28">
        <v>1890</v>
      </c>
      <c r="L3" s="32"/>
    </row>
    <row r="4" spans="1:12" ht="19">
      <c r="A4" s="36" t="s">
        <v>5</v>
      </c>
      <c r="B4" s="31"/>
      <c r="C4" s="29">
        <v>44870</v>
      </c>
      <c r="D4" s="30" t="s">
        <v>13</v>
      </c>
      <c r="E4" s="30" t="s">
        <v>15</v>
      </c>
      <c r="F4" s="30">
        <v>15</v>
      </c>
      <c r="H4" s="29">
        <v>44882</v>
      </c>
      <c r="I4" s="30" t="s">
        <v>36</v>
      </c>
      <c r="J4" s="30" t="s">
        <v>23</v>
      </c>
      <c r="K4" s="30">
        <v>20</v>
      </c>
      <c r="L4" s="32"/>
    </row>
    <row r="5" spans="1:12">
      <c r="A5" s="29">
        <v>44895</v>
      </c>
      <c r="B5" s="31"/>
      <c r="C5" s="27">
        <v>44870</v>
      </c>
      <c r="D5" s="28" t="s">
        <v>13</v>
      </c>
      <c r="E5" s="28" t="s">
        <v>15</v>
      </c>
      <c r="F5" s="28">
        <v>15</v>
      </c>
      <c r="H5" s="27">
        <v>44883</v>
      </c>
      <c r="I5" s="28" t="s">
        <v>37</v>
      </c>
      <c r="J5" s="28" t="s">
        <v>21</v>
      </c>
      <c r="K5" s="28">
        <v>200</v>
      </c>
      <c r="L5" s="32"/>
    </row>
    <row r="6" spans="1:12">
      <c r="B6" s="31"/>
      <c r="C6" s="29">
        <v>44872</v>
      </c>
      <c r="D6" s="30" t="s">
        <v>28</v>
      </c>
      <c r="E6" s="30" t="s">
        <v>16</v>
      </c>
      <c r="F6" s="30">
        <v>90</v>
      </c>
      <c r="H6" s="29">
        <v>44887</v>
      </c>
      <c r="I6" s="30" t="s">
        <v>38</v>
      </c>
      <c r="J6" s="30" t="s">
        <v>23</v>
      </c>
      <c r="K6" s="30">
        <v>500</v>
      </c>
      <c r="L6" s="32"/>
    </row>
    <row r="7" spans="1:12">
      <c r="B7" s="31"/>
      <c r="C7" s="27">
        <v>44880</v>
      </c>
      <c r="D7" s="28" t="s">
        <v>29</v>
      </c>
      <c r="E7" s="28" t="s">
        <v>17</v>
      </c>
      <c r="F7" s="28">
        <v>63</v>
      </c>
      <c r="H7" s="27">
        <v>44890</v>
      </c>
      <c r="I7" s="28" t="s">
        <v>39</v>
      </c>
      <c r="J7" s="28" t="s">
        <v>25</v>
      </c>
      <c r="K7" s="28">
        <v>159</v>
      </c>
      <c r="L7" s="32"/>
    </row>
    <row r="8" spans="1:12">
      <c r="B8" s="31"/>
      <c r="C8" s="29">
        <v>44881</v>
      </c>
      <c r="D8" s="30" t="s">
        <v>30</v>
      </c>
      <c r="E8" s="30" t="s">
        <v>18</v>
      </c>
      <c r="F8" s="30">
        <v>120</v>
      </c>
      <c r="H8" s="29"/>
      <c r="L8" s="32"/>
    </row>
    <row r="9" spans="1:12">
      <c r="B9" s="31"/>
      <c r="C9" s="27">
        <v>44882</v>
      </c>
      <c r="D9" s="28" t="s">
        <v>31</v>
      </c>
      <c r="E9" s="28" t="s">
        <v>15</v>
      </c>
      <c r="F9" s="28">
        <v>12</v>
      </c>
    </row>
    <row r="10" spans="1:12">
      <c r="B10" s="31"/>
      <c r="C10" s="29">
        <v>44882</v>
      </c>
      <c r="D10" s="30" t="s">
        <v>31</v>
      </c>
      <c r="E10" s="30" t="s">
        <v>15</v>
      </c>
      <c r="F10" s="30">
        <v>12</v>
      </c>
    </row>
    <row r="11" spans="1:12">
      <c r="B11" s="31"/>
      <c r="C11" s="27">
        <v>44882</v>
      </c>
      <c r="D11" s="28" t="s">
        <v>31</v>
      </c>
      <c r="E11" s="28" t="s">
        <v>15</v>
      </c>
      <c r="F11" s="28">
        <v>12</v>
      </c>
    </row>
    <row r="12" spans="1:12">
      <c r="B12" s="31"/>
      <c r="C12" s="29">
        <v>44883</v>
      </c>
      <c r="D12" s="30" t="s">
        <v>32</v>
      </c>
      <c r="E12" s="30" t="s">
        <v>15</v>
      </c>
      <c r="F12" s="30">
        <v>10</v>
      </c>
    </row>
    <row r="13" spans="1:12">
      <c r="B13" s="31"/>
      <c r="C13" s="27">
        <v>44885</v>
      </c>
      <c r="D13" s="28" t="s">
        <v>33</v>
      </c>
      <c r="E13" s="28" t="s">
        <v>14</v>
      </c>
      <c r="F13" s="28">
        <v>70</v>
      </c>
    </row>
    <row r="14" spans="1:12">
      <c r="B14" s="31"/>
      <c r="C14" s="29">
        <v>44887</v>
      </c>
      <c r="D14" s="30" t="s">
        <v>34</v>
      </c>
      <c r="E14" s="30" t="s">
        <v>14</v>
      </c>
      <c r="F14" s="30">
        <v>115</v>
      </c>
    </row>
    <row r="15" spans="1:12">
      <c r="B15" s="31"/>
    </row>
    <row r="16" spans="1:12">
      <c r="B16" s="31"/>
    </row>
    <row r="17" spans="2:2">
      <c r="B17" s="31"/>
    </row>
    <row r="18" spans="2:2">
      <c r="B18" s="31"/>
    </row>
    <row r="19" spans="2:2">
      <c r="B19" s="31"/>
    </row>
    <row r="20" spans="2:2">
      <c r="B20" s="31"/>
    </row>
    <row r="21" spans="2:2">
      <c r="B21" s="31"/>
    </row>
    <row r="22" spans="2:2">
      <c r="B22" s="31"/>
    </row>
    <row r="23" spans="2:2">
      <c r="B23" s="31"/>
    </row>
    <row r="24" spans="2:2">
      <c r="B24" s="31"/>
    </row>
    <row r="25" spans="2:2" ht="13.5" customHeight="1">
      <c r="B25" s="31"/>
    </row>
    <row r="26" spans="2:2">
      <c r="B26" s="31"/>
    </row>
    <row r="27" spans="2:2">
      <c r="B27" s="31"/>
    </row>
    <row r="28" spans="2:2">
      <c r="B28" s="31"/>
    </row>
    <row r="29" spans="2:2">
      <c r="B29" s="31"/>
    </row>
    <row r="30" spans="2:2">
      <c r="B30" s="31"/>
    </row>
    <row r="31" spans="2:2">
      <c r="B31" s="31"/>
    </row>
    <row r="32" spans="2:2">
      <c r="B32" s="31"/>
    </row>
    <row r="33" spans="2:2">
      <c r="B33" s="31"/>
    </row>
    <row r="34" spans="2:2">
      <c r="B34" s="31"/>
    </row>
    <row r="35" spans="2:2">
      <c r="B35" s="31"/>
    </row>
    <row r="36" spans="2:2">
      <c r="B36" s="31"/>
    </row>
    <row r="37" spans="2:2">
      <c r="B37" s="31"/>
    </row>
    <row r="38" spans="2:2">
      <c r="B38" s="31"/>
    </row>
    <row r="39" spans="2:2">
      <c r="B39" s="31"/>
    </row>
    <row r="40" spans="2:2">
      <c r="B40" s="31"/>
    </row>
    <row r="41" spans="2:2">
      <c r="B41" s="31"/>
    </row>
    <row r="42" spans="2:2">
      <c r="B42" s="31"/>
    </row>
    <row r="43" spans="2:2">
      <c r="B43" s="31"/>
    </row>
    <row r="44" spans="2:2">
      <c r="B44" s="31"/>
    </row>
    <row r="45" spans="2:2">
      <c r="B45" s="31"/>
    </row>
    <row r="46" spans="2:2">
      <c r="B46" s="31"/>
    </row>
    <row r="47" spans="2:2">
      <c r="B47" s="31"/>
    </row>
    <row r="48" spans="2:2">
      <c r="B48" s="31"/>
    </row>
    <row r="49" spans="2:2">
      <c r="B49" s="31"/>
    </row>
    <row r="50" spans="2:2">
      <c r="B50" s="31"/>
    </row>
    <row r="51" spans="2:2">
      <c r="B51" s="31"/>
    </row>
    <row r="52" spans="2:2">
      <c r="B52" s="31" t="s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0</xdr:col>
                    <xdr:colOff>241300</xdr:colOff>
                    <xdr:row>11</xdr:row>
                    <xdr:rowOff>127000</xdr:rowOff>
                  </from>
                  <to>
                    <xdr:col>1</xdr:col>
                    <xdr:colOff>368300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254000</xdr:colOff>
                    <xdr:row>6</xdr:row>
                    <xdr:rowOff>76200</xdr:rowOff>
                  </from>
                  <to>
                    <xdr:col>1</xdr:col>
                    <xdr:colOff>368300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D3DB6-5999-4B66-95B4-7010073EF43B}">
  <sheetPr codeName="Sheet4"/>
  <dimension ref="A1:X48"/>
  <sheetViews>
    <sheetView tabSelected="1" workbookViewId="0">
      <selection activeCell="M15" sqref="M15"/>
    </sheetView>
  </sheetViews>
  <sheetFormatPr baseColWidth="10" defaultColWidth="8.83203125" defaultRowHeight="15"/>
  <cols>
    <col min="1" max="7" width="8.83203125" style="31"/>
    <col min="8" max="8" width="9.5" style="31" customWidth="1"/>
    <col min="9" max="16384" width="8.83203125" style="31"/>
  </cols>
  <sheetData>
    <row r="1" spans="1:24" s="34" customFormat="1" ht="32" thickBot="1">
      <c r="A1" s="33"/>
      <c r="C1" s="34" t="s">
        <v>8</v>
      </c>
      <c r="H1" s="34" t="s">
        <v>7</v>
      </c>
    </row>
    <row r="2" spans="1:24">
      <c r="C2" t="s">
        <v>26</v>
      </c>
      <c r="D2" t="s">
        <v>10</v>
      </c>
      <c r="E2" t="s">
        <v>11</v>
      </c>
      <c r="F2" t="s">
        <v>12</v>
      </c>
      <c r="H2" t="s">
        <v>26</v>
      </c>
      <c r="I2" t="s">
        <v>10</v>
      </c>
      <c r="J2" t="s">
        <v>11</v>
      </c>
      <c r="K2" t="s">
        <v>12</v>
      </c>
      <c r="M2" s="80"/>
      <c r="N2" s="65"/>
      <c r="O2" s="65"/>
      <c r="P2" s="65"/>
      <c r="Q2" s="65"/>
      <c r="R2" s="81"/>
      <c r="S2" s="82"/>
      <c r="T2" s="65"/>
      <c r="U2" s="65"/>
      <c r="V2" s="65"/>
      <c r="W2" s="65"/>
      <c r="X2" s="81"/>
    </row>
    <row r="3" spans="1:24">
      <c r="C3" t="s">
        <v>9</v>
      </c>
      <c r="D3">
        <f>SUM(D4:D11)</f>
        <v>730</v>
      </c>
      <c r="E3">
        <f>SUM(E4:E11)</f>
        <v>549</v>
      </c>
      <c r="F3">
        <f>Table44[[#This Row],[Planned]]-Table44[[#This Row],[Actual]]</f>
        <v>181</v>
      </c>
      <c r="H3" t="s">
        <v>9</v>
      </c>
      <c r="I3">
        <f>SUM(I4:I8)</f>
        <v>2200</v>
      </c>
      <c r="J3">
        <f>SUM(J4:J8)</f>
        <v>2769</v>
      </c>
      <c r="K3">
        <f>Table57[[#This Row],[Actual]]-Table57[[#This Row],[Planned]]</f>
        <v>569</v>
      </c>
      <c r="M3" s="74"/>
      <c r="N3" s="65"/>
      <c r="O3" s="65"/>
      <c r="P3" s="65"/>
      <c r="Q3" s="65"/>
      <c r="R3" s="73"/>
      <c r="S3" s="83"/>
      <c r="T3" s="65"/>
      <c r="U3" s="65"/>
      <c r="V3" s="65"/>
      <c r="W3" s="65"/>
      <c r="X3" s="73"/>
    </row>
    <row r="4" spans="1:24">
      <c r="C4" t="s">
        <v>15</v>
      </c>
      <c r="D4">
        <f>'Expenses&amp;Incomes'!O3</f>
        <v>200</v>
      </c>
      <c r="E4">
        <f>SUMIF(Output!E$3:E$1001,C4, Output!F$3:F$1001)</f>
        <v>91</v>
      </c>
      <c r="F4">
        <f>Table44[[#This Row],[Planned]]-Table44[[#This Row],[Actual]]</f>
        <v>109</v>
      </c>
      <c r="H4" t="s">
        <v>22</v>
      </c>
      <c r="I4">
        <f>'Expenses&amp;Incomes'!T3</f>
        <v>1800</v>
      </c>
      <c r="J4">
        <f>SUMIF(Output!J$3:J$1001,H4, Output!K$3:K$1001)</f>
        <v>1890</v>
      </c>
      <c r="K4">
        <f>Table57[[#This Row],[Actual]]-Table57[[#This Row],[Planned]]</f>
        <v>90</v>
      </c>
      <c r="M4" s="74"/>
      <c r="N4" s="65"/>
      <c r="O4" s="65"/>
      <c r="P4" s="65"/>
      <c r="Q4" s="65"/>
      <c r="R4" s="73"/>
      <c r="S4" s="83"/>
      <c r="T4" s="65"/>
      <c r="U4" s="65"/>
      <c r="V4" s="65"/>
      <c r="W4" s="65"/>
      <c r="X4" s="73"/>
    </row>
    <row r="5" spans="1:24">
      <c r="C5" t="s">
        <v>14</v>
      </c>
      <c r="D5">
        <f>'Expenses&amp;Incomes'!O4</f>
        <v>250</v>
      </c>
      <c r="E5">
        <f>SUMIF(Output!E$3:E$1001,C5, Output!F$3:F$1001)</f>
        <v>185</v>
      </c>
      <c r="F5">
        <f>Table44[[#This Row],[Planned]]-Table44[[#This Row],[Actual]]</f>
        <v>65</v>
      </c>
      <c r="H5" t="s">
        <v>23</v>
      </c>
      <c r="I5">
        <f>'Expenses&amp;Incomes'!T4</f>
        <v>200</v>
      </c>
      <c r="J5">
        <f>SUMIF(Output!J$3:J$1001,H5, Output!K$3:K$1001)</f>
        <v>520</v>
      </c>
      <c r="K5">
        <f>Table57[[#This Row],[Actual]]-Table57[[#This Row],[Planned]]</f>
        <v>320</v>
      </c>
      <c r="M5" s="74"/>
      <c r="N5" s="65"/>
      <c r="O5" s="65"/>
      <c r="P5" s="65"/>
      <c r="Q5" s="65"/>
      <c r="R5" s="73"/>
      <c r="S5" s="83"/>
      <c r="T5" s="65"/>
      <c r="U5" s="65"/>
      <c r="V5" s="65"/>
      <c r="W5" s="65"/>
      <c r="X5" s="73"/>
    </row>
    <row r="6" spans="1:24">
      <c r="C6" t="s">
        <v>16</v>
      </c>
      <c r="D6">
        <f>'Expenses&amp;Incomes'!O5</f>
        <v>135</v>
      </c>
      <c r="E6">
        <f>SUMIF(Output!E$3:E$1001,C6, Output!F$3:F$1001)</f>
        <v>90</v>
      </c>
      <c r="F6">
        <f>Table44[[#This Row],[Planned]]-Table44[[#This Row],[Actual]]</f>
        <v>45</v>
      </c>
      <c r="H6" t="s">
        <v>24</v>
      </c>
      <c r="I6">
        <f>'Expenses&amp;Incomes'!T5</f>
        <v>0</v>
      </c>
      <c r="J6">
        <f>SUMIF(Output!J$3:J$1001,H6, Output!K$3:K$1001)</f>
        <v>0</v>
      </c>
      <c r="K6">
        <f>Table57[[#This Row],[Actual]]-Table57[[#This Row],[Planned]]</f>
        <v>0</v>
      </c>
      <c r="M6" s="74"/>
      <c r="N6" s="65"/>
      <c r="O6" s="65"/>
      <c r="P6" s="65"/>
      <c r="Q6" s="65"/>
      <c r="R6" s="73"/>
      <c r="S6" s="83"/>
      <c r="T6" s="65"/>
      <c r="U6" s="65"/>
      <c r="V6" s="65"/>
      <c r="W6" s="65"/>
      <c r="X6" s="73"/>
    </row>
    <row r="7" spans="1:24">
      <c r="C7" t="s">
        <v>17</v>
      </c>
      <c r="D7">
        <f>'Expenses&amp;Incomes'!O6</f>
        <v>45</v>
      </c>
      <c r="E7">
        <f>SUMIF(Output!E$3:E$1001,C7, Output!F$3:F$1001)</f>
        <v>63</v>
      </c>
      <c r="F7">
        <f>Table44[[#This Row],[Planned]]-Table44[[#This Row],[Actual]]</f>
        <v>-18</v>
      </c>
      <c r="H7" t="s">
        <v>25</v>
      </c>
      <c r="I7">
        <f>'Expenses&amp;Incomes'!T6</f>
        <v>200</v>
      </c>
      <c r="J7">
        <f>SUMIF(Output!J$3:J$1001,H7, Output!K$3:K$1001)</f>
        <v>159</v>
      </c>
      <c r="K7">
        <f>Table57[[#This Row],[Actual]]-Table57[[#This Row],[Planned]]</f>
        <v>-41</v>
      </c>
      <c r="M7" s="74"/>
      <c r="N7" s="65"/>
      <c r="O7" s="65"/>
      <c r="P7" s="65"/>
      <c r="Q7" s="65"/>
      <c r="R7" s="73"/>
      <c r="S7" s="83"/>
      <c r="T7" s="65"/>
      <c r="U7" s="65"/>
      <c r="V7" s="65"/>
      <c r="W7" s="65"/>
      <c r="X7" s="73"/>
    </row>
    <row r="8" spans="1:24">
      <c r="C8" t="s">
        <v>18</v>
      </c>
      <c r="D8">
        <f>'Expenses&amp;Incomes'!O7</f>
        <v>100</v>
      </c>
      <c r="E8">
        <f>SUMIF(Output!E$3:E$1001,C8, Output!F$3:F$1001)</f>
        <v>120</v>
      </c>
      <c r="F8">
        <f>Table44[[#This Row],[Planned]]-Table44[[#This Row],[Actual]]</f>
        <v>-20</v>
      </c>
      <c r="H8" t="s">
        <v>21</v>
      </c>
      <c r="I8">
        <f>'Expenses&amp;Incomes'!T7</f>
        <v>0</v>
      </c>
      <c r="J8">
        <f>SUMIF(Output!J$3:J$1001,H8, Output!K$3:K$1001)</f>
        <v>200</v>
      </c>
      <c r="K8">
        <f>Table57[[#This Row],[Actual]]-Table57[[#This Row],[Planned]]</f>
        <v>200</v>
      </c>
      <c r="M8" s="74"/>
      <c r="N8" s="65"/>
      <c r="O8" s="65"/>
      <c r="P8" s="65"/>
      <c r="Q8" s="65"/>
      <c r="R8" s="73"/>
      <c r="S8" s="83"/>
      <c r="T8" s="65"/>
      <c r="U8" s="65"/>
      <c r="V8" s="65"/>
      <c r="W8" s="65"/>
      <c r="X8" s="73"/>
    </row>
    <row r="9" spans="1:24">
      <c r="C9" t="s">
        <v>19</v>
      </c>
      <c r="D9">
        <f>'Expenses&amp;Incomes'!O8</f>
        <v>0</v>
      </c>
      <c r="E9">
        <f>SUMIF(Output!E$3:E$1001,C9, Output!F$3:F$1001)</f>
        <v>0</v>
      </c>
      <c r="F9">
        <f>Table44[[#This Row],[Planned]]-Table44[[#This Row],[Actual]]</f>
        <v>0</v>
      </c>
      <c r="M9" s="74"/>
      <c r="N9" s="65"/>
      <c r="O9" s="65"/>
      <c r="P9" s="65"/>
      <c r="Q9" s="65"/>
      <c r="R9" s="73"/>
      <c r="S9" s="83"/>
      <c r="T9" s="65"/>
      <c r="U9" s="65"/>
      <c r="V9" s="65"/>
      <c r="W9" s="65"/>
      <c r="X9" s="73"/>
    </row>
    <row r="10" spans="1:24">
      <c r="C10" t="s">
        <v>20</v>
      </c>
      <c r="D10">
        <f>'Expenses&amp;Incomes'!O9</f>
        <v>0</v>
      </c>
      <c r="E10">
        <f>SUMIF(Output!E$3:E$1001,C10, Output!F$3:F$1001)</f>
        <v>0</v>
      </c>
      <c r="F10">
        <f>Table44[[#This Row],[Planned]]-Table44[[#This Row],[Actual]]</f>
        <v>0</v>
      </c>
      <c r="H10" s="63" t="s">
        <v>42</v>
      </c>
      <c r="I10" s="63"/>
      <c r="M10" s="74"/>
      <c r="N10" s="65"/>
      <c r="O10" s="65"/>
      <c r="P10" s="65"/>
      <c r="Q10" s="65"/>
      <c r="R10" s="73"/>
      <c r="S10" s="83"/>
      <c r="T10" s="65"/>
      <c r="U10" s="65"/>
      <c r="V10" s="65"/>
      <c r="W10" s="65"/>
      <c r="X10" s="73"/>
    </row>
    <row r="11" spans="1:24">
      <c r="C11" t="s">
        <v>21</v>
      </c>
      <c r="D11">
        <f>'Expenses&amp;Incomes'!O10</f>
        <v>0</v>
      </c>
      <c r="E11">
        <f>SUMIF(Output!E$3:E$1001,C11, Output!F$3:F$1001)</f>
        <v>0</v>
      </c>
      <c r="F11">
        <f>Table44[[#This Row],[Planned]]-Table44[[#This Row],[Actual]]</f>
        <v>0</v>
      </c>
      <c r="H11" t="s">
        <v>43</v>
      </c>
      <c r="I11" t="s">
        <v>44</v>
      </c>
      <c r="M11" s="74"/>
      <c r="N11" s="65"/>
      <c r="O11" s="65"/>
      <c r="P11" s="65"/>
      <c r="Q11" s="65"/>
      <c r="R11" s="73"/>
      <c r="S11" s="83"/>
      <c r="T11" s="65"/>
      <c r="U11" s="65"/>
      <c r="V11" s="65"/>
      <c r="W11" s="65"/>
      <c r="X11" s="73"/>
    </row>
    <row r="12" spans="1:24">
      <c r="H12">
        <f>'Expenses&amp;Incomes'!F2</f>
        <v>2343</v>
      </c>
      <c r="I12">
        <f>Table1[Starting]+J3-E3</f>
        <v>4563</v>
      </c>
      <c r="M12" s="74"/>
      <c r="N12" s="65"/>
      <c r="O12" s="65"/>
      <c r="P12" s="65"/>
      <c r="Q12" s="65"/>
      <c r="R12" s="73"/>
      <c r="S12" s="83"/>
      <c r="T12" s="65"/>
      <c r="U12" s="65"/>
      <c r="V12" s="65"/>
      <c r="W12" s="65"/>
      <c r="X12" s="73"/>
    </row>
    <row r="13" spans="1:24">
      <c r="E13" s="71"/>
      <c r="F13" s="71"/>
      <c r="M13" s="74"/>
      <c r="N13" s="65"/>
      <c r="O13" s="65"/>
      <c r="P13" s="65"/>
      <c r="Q13" s="65"/>
      <c r="R13" s="73"/>
      <c r="S13" s="83"/>
      <c r="T13" s="65"/>
      <c r="U13" s="65"/>
      <c r="V13" s="65"/>
      <c r="W13" s="65"/>
      <c r="X13" s="73"/>
    </row>
    <row r="14" spans="1:24">
      <c r="B14" s="74"/>
      <c r="C14" s="70"/>
      <c r="D14" s="70"/>
      <c r="E14" s="64"/>
      <c r="F14" s="72"/>
      <c r="H14" s="78"/>
      <c r="I14" s="70"/>
      <c r="J14" s="70"/>
      <c r="K14" s="70"/>
      <c r="L14" s="72"/>
      <c r="M14" s="74"/>
      <c r="N14" s="65"/>
      <c r="O14" s="65"/>
      <c r="P14" s="65"/>
      <c r="Q14" s="65"/>
      <c r="R14" s="73"/>
      <c r="S14" s="83"/>
      <c r="T14" s="65"/>
      <c r="U14" s="65"/>
      <c r="V14" s="65"/>
      <c r="W14" s="65"/>
      <c r="X14" s="73"/>
    </row>
    <row r="15" spans="1:24">
      <c r="B15" s="74"/>
      <c r="C15" s="64"/>
      <c r="D15" s="64"/>
      <c r="E15" s="64"/>
      <c r="F15" s="73"/>
      <c r="H15" s="79"/>
      <c r="I15" s="64"/>
      <c r="J15" s="64"/>
      <c r="K15" s="64"/>
      <c r="L15" s="73"/>
      <c r="M15" s="74"/>
      <c r="N15" s="65"/>
      <c r="O15" s="65"/>
      <c r="P15" s="65"/>
      <c r="Q15" s="65"/>
      <c r="R15" s="73"/>
      <c r="S15" s="83"/>
      <c r="T15" s="65"/>
      <c r="U15" s="65"/>
      <c r="V15" s="65"/>
      <c r="W15" s="65"/>
      <c r="X15" s="73"/>
    </row>
    <row r="16" spans="1:24">
      <c r="B16" s="74"/>
      <c r="C16" s="64"/>
      <c r="D16" s="64"/>
      <c r="E16" s="64"/>
      <c r="F16" s="73"/>
      <c r="H16" s="79"/>
      <c r="I16" s="64"/>
      <c r="J16" s="64"/>
      <c r="K16" s="64"/>
      <c r="L16" s="73"/>
      <c r="M16" s="74"/>
      <c r="N16" s="65"/>
      <c r="O16" s="65"/>
      <c r="P16" s="65"/>
      <c r="Q16" s="65"/>
      <c r="R16" s="73"/>
      <c r="S16" s="83"/>
      <c r="T16" s="65"/>
      <c r="U16" s="65"/>
      <c r="V16" s="65"/>
      <c r="W16" s="65"/>
      <c r="X16" s="73"/>
    </row>
    <row r="17" spans="2:24">
      <c r="B17" s="74"/>
      <c r="C17" s="64"/>
      <c r="D17" s="64"/>
      <c r="E17" s="64"/>
      <c r="F17" s="73"/>
      <c r="H17" s="79"/>
      <c r="I17" s="64"/>
      <c r="J17" s="64"/>
      <c r="K17" s="64"/>
      <c r="L17" s="73"/>
      <c r="M17" s="74"/>
      <c r="N17" s="65"/>
      <c r="O17" s="65"/>
      <c r="P17" s="65"/>
      <c r="Q17" s="65"/>
      <c r="R17" s="73"/>
      <c r="S17" s="83"/>
      <c r="T17" s="65"/>
      <c r="U17" s="65"/>
      <c r="V17" s="65"/>
      <c r="W17" s="65"/>
      <c r="X17" s="73"/>
    </row>
    <row r="18" spans="2:24">
      <c r="B18" s="74"/>
      <c r="C18" s="64"/>
      <c r="D18" s="64"/>
      <c r="E18" s="64"/>
      <c r="F18" s="73"/>
      <c r="H18" s="79"/>
      <c r="I18" s="64"/>
      <c r="J18" s="64"/>
      <c r="K18" s="64"/>
      <c r="L18" s="73"/>
      <c r="M18" s="74"/>
      <c r="N18" s="75"/>
      <c r="O18" s="76"/>
      <c r="P18" s="76"/>
      <c r="Q18" s="76"/>
      <c r="R18" s="77"/>
      <c r="S18" s="83"/>
      <c r="T18" s="75"/>
      <c r="U18" s="76"/>
      <c r="V18" s="76"/>
      <c r="W18" s="76"/>
      <c r="X18" s="77"/>
    </row>
    <row r="19" spans="2:24">
      <c r="B19" s="74"/>
      <c r="C19" s="64"/>
      <c r="D19" s="64"/>
      <c r="E19" s="64"/>
      <c r="F19" s="73"/>
      <c r="H19" s="79"/>
      <c r="I19" s="64"/>
      <c r="J19" s="64"/>
      <c r="K19" s="64"/>
      <c r="L19" s="73"/>
    </row>
    <row r="20" spans="2:24">
      <c r="B20" s="74"/>
      <c r="C20" s="64"/>
      <c r="D20" s="64"/>
      <c r="E20" s="64"/>
      <c r="F20" s="73"/>
      <c r="H20" s="79"/>
      <c r="I20" s="64"/>
      <c r="J20" s="64"/>
      <c r="K20" s="64"/>
      <c r="L20" s="73"/>
    </row>
    <row r="21" spans="2:24">
      <c r="B21" s="74"/>
      <c r="C21" s="64"/>
      <c r="D21" s="64"/>
      <c r="E21" s="64"/>
      <c r="F21" s="73"/>
      <c r="H21" s="79"/>
      <c r="I21" s="64"/>
      <c r="J21" s="64"/>
      <c r="K21" s="64"/>
      <c r="L21" s="73"/>
      <c r="N21" s="78"/>
      <c r="O21" s="70"/>
      <c r="P21" s="70"/>
      <c r="Q21" s="70"/>
      <c r="R21" s="72"/>
    </row>
    <row r="22" spans="2:24">
      <c r="B22" s="74"/>
      <c r="C22" s="64"/>
      <c r="D22" s="64"/>
      <c r="E22" s="64"/>
      <c r="F22" s="73"/>
      <c r="H22" s="79"/>
      <c r="I22" s="64"/>
      <c r="J22" s="64"/>
      <c r="K22" s="64"/>
      <c r="L22" s="73"/>
      <c r="N22" s="79"/>
      <c r="O22" s="64"/>
      <c r="P22" s="64"/>
      <c r="Q22" s="64"/>
      <c r="R22" s="73"/>
    </row>
    <row r="23" spans="2:24">
      <c r="B23" s="74"/>
      <c r="C23" s="64"/>
      <c r="D23" s="64"/>
      <c r="E23" s="64"/>
      <c r="F23" s="73"/>
      <c r="H23" s="79"/>
      <c r="I23" s="64"/>
      <c r="J23" s="64"/>
      <c r="K23" s="64"/>
      <c r="L23" s="73"/>
      <c r="N23" s="79"/>
      <c r="O23" s="64"/>
      <c r="P23" s="64"/>
      <c r="Q23" s="64"/>
      <c r="R23" s="73"/>
    </row>
    <row r="24" spans="2:24">
      <c r="B24" s="74"/>
      <c r="C24" s="64"/>
      <c r="D24" s="64"/>
      <c r="E24" s="64"/>
      <c r="F24" s="73"/>
      <c r="H24" s="79"/>
      <c r="I24" s="64"/>
      <c r="J24" s="64"/>
      <c r="K24" s="64"/>
      <c r="L24" s="73"/>
      <c r="N24" s="79"/>
      <c r="O24" s="64"/>
      <c r="P24" s="64"/>
      <c r="Q24" s="64"/>
      <c r="R24" s="73"/>
    </row>
    <row r="25" spans="2:24">
      <c r="B25" s="74"/>
      <c r="C25" s="64"/>
      <c r="D25" s="64"/>
      <c r="E25" s="64"/>
      <c r="F25" s="73"/>
      <c r="H25" s="79"/>
      <c r="I25" s="64"/>
      <c r="J25" s="64"/>
      <c r="K25" s="64"/>
      <c r="L25" s="73"/>
      <c r="N25" s="79"/>
      <c r="O25" s="64"/>
      <c r="P25" s="64"/>
      <c r="Q25" s="64"/>
      <c r="R25" s="73"/>
    </row>
    <row r="26" spans="2:24">
      <c r="B26" s="74"/>
      <c r="C26" s="64"/>
      <c r="D26" s="64"/>
      <c r="E26" s="64"/>
      <c r="F26" s="73"/>
      <c r="H26" s="79"/>
      <c r="I26" s="64"/>
      <c r="J26" s="64"/>
      <c r="K26" s="64"/>
      <c r="L26" s="73"/>
      <c r="N26" s="79"/>
      <c r="O26" s="64"/>
      <c r="P26" s="64"/>
      <c r="Q26" s="64"/>
      <c r="R26" s="73"/>
    </row>
    <row r="27" spans="2:24">
      <c r="B27" s="74"/>
      <c r="C27" s="64"/>
      <c r="D27" s="64"/>
      <c r="E27" s="64"/>
      <c r="F27" s="73"/>
      <c r="H27" s="79"/>
      <c r="I27" s="64"/>
      <c r="J27" s="64"/>
      <c r="K27" s="64"/>
      <c r="L27" s="73"/>
      <c r="N27" s="79"/>
      <c r="O27" s="64"/>
      <c r="P27" s="64"/>
      <c r="Q27" s="64"/>
      <c r="R27" s="73"/>
    </row>
    <row r="28" spans="2:24">
      <c r="B28" s="74"/>
      <c r="C28" s="64"/>
      <c r="D28" s="64"/>
      <c r="E28" s="64"/>
      <c r="F28" s="73"/>
      <c r="H28" s="79"/>
      <c r="I28" s="64"/>
      <c r="J28" s="64"/>
      <c r="K28" s="64"/>
      <c r="L28" s="73"/>
      <c r="N28" s="79"/>
      <c r="O28" s="64"/>
      <c r="P28" s="64"/>
      <c r="Q28" s="64"/>
      <c r="R28" s="73"/>
    </row>
    <row r="29" spans="2:24">
      <c r="B29" s="74"/>
      <c r="C29" s="64"/>
      <c r="D29" s="64"/>
      <c r="E29" s="64"/>
      <c r="F29" s="73"/>
      <c r="H29" s="79"/>
      <c r="I29" s="64"/>
      <c r="J29" s="64"/>
      <c r="K29" s="64"/>
      <c r="L29" s="73"/>
      <c r="N29" s="79"/>
      <c r="O29" s="64"/>
      <c r="P29" s="64"/>
      <c r="Q29" s="64"/>
      <c r="R29" s="73"/>
    </row>
    <row r="30" spans="2:24">
      <c r="B30" s="74"/>
      <c r="C30" s="75"/>
      <c r="D30" s="76"/>
      <c r="E30" s="76"/>
      <c r="F30" s="77"/>
      <c r="H30" s="75"/>
      <c r="I30" s="76"/>
      <c r="J30" s="76"/>
      <c r="K30" s="76"/>
      <c r="L30" s="77"/>
      <c r="N30" s="79"/>
      <c r="O30" s="64"/>
      <c r="P30" s="64"/>
      <c r="Q30" s="64"/>
      <c r="R30" s="73"/>
    </row>
    <row r="31" spans="2:24">
      <c r="N31" s="79"/>
      <c r="O31" s="64"/>
      <c r="P31" s="64"/>
      <c r="Q31" s="64"/>
      <c r="R31" s="73"/>
    </row>
    <row r="32" spans="2:24">
      <c r="C32" s="78"/>
      <c r="D32" s="70"/>
      <c r="E32" s="70"/>
      <c r="F32" s="72"/>
      <c r="H32" s="78"/>
      <c r="I32" s="70"/>
      <c r="J32" s="70"/>
      <c r="K32" s="70"/>
      <c r="L32" s="72"/>
      <c r="N32" s="79"/>
      <c r="O32" s="64"/>
      <c r="P32" s="64"/>
      <c r="Q32" s="64"/>
      <c r="R32" s="73"/>
    </row>
    <row r="33" spans="3:18">
      <c r="C33" s="79"/>
      <c r="D33" s="64"/>
      <c r="E33" s="64"/>
      <c r="F33" s="73"/>
      <c r="H33" s="79"/>
      <c r="I33" s="64"/>
      <c r="J33" s="64"/>
      <c r="K33" s="64"/>
      <c r="L33" s="73"/>
      <c r="N33" s="79"/>
      <c r="O33" s="64"/>
      <c r="P33" s="64"/>
      <c r="Q33" s="64"/>
      <c r="R33" s="73"/>
    </row>
    <row r="34" spans="3:18">
      <c r="C34" s="79"/>
      <c r="D34" s="64"/>
      <c r="E34" s="64"/>
      <c r="F34" s="73"/>
      <c r="H34" s="79"/>
      <c r="I34" s="64"/>
      <c r="J34" s="64"/>
      <c r="K34" s="64"/>
      <c r="L34" s="73"/>
      <c r="N34" s="79"/>
      <c r="O34" s="64"/>
      <c r="P34" s="64"/>
      <c r="Q34" s="64"/>
      <c r="R34" s="73"/>
    </row>
    <row r="35" spans="3:18">
      <c r="C35" s="79"/>
      <c r="D35" s="64"/>
      <c r="E35" s="64"/>
      <c r="F35" s="73"/>
      <c r="H35" s="79"/>
      <c r="I35" s="64"/>
      <c r="J35" s="64"/>
      <c r="K35" s="64"/>
      <c r="L35" s="73"/>
      <c r="N35" s="79"/>
      <c r="O35" s="64"/>
      <c r="P35" s="64"/>
      <c r="Q35" s="64"/>
      <c r="R35" s="73"/>
    </row>
    <row r="36" spans="3:18">
      <c r="C36" s="79"/>
      <c r="D36" s="64"/>
      <c r="E36" s="64"/>
      <c r="F36" s="73"/>
      <c r="H36" s="79"/>
      <c r="I36" s="64"/>
      <c r="J36" s="64"/>
      <c r="K36" s="64"/>
      <c r="L36" s="73"/>
      <c r="N36" s="79"/>
      <c r="O36" s="64"/>
      <c r="P36" s="64"/>
      <c r="Q36" s="64"/>
      <c r="R36" s="73"/>
    </row>
    <row r="37" spans="3:18">
      <c r="C37" s="79"/>
      <c r="D37" s="64"/>
      <c r="E37" s="64"/>
      <c r="F37" s="73"/>
      <c r="H37" s="79"/>
      <c r="I37" s="64"/>
      <c r="J37" s="64"/>
      <c r="K37" s="64"/>
      <c r="L37" s="73"/>
      <c r="N37" s="75"/>
      <c r="O37" s="76"/>
      <c r="P37" s="76"/>
      <c r="Q37" s="76"/>
      <c r="R37" s="77"/>
    </row>
    <row r="38" spans="3:18">
      <c r="C38" s="79"/>
      <c r="D38" s="64"/>
      <c r="E38" s="64"/>
      <c r="F38" s="73"/>
      <c r="H38" s="79"/>
      <c r="I38" s="64"/>
      <c r="J38" s="64"/>
      <c r="K38" s="64"/>
      <c r="L38" s="73"/>
    </row>
    <row r="39" spans="3:18">
      <c r="C39" s="79"/>
      <c r="D39" s="64"/>
      <c r="E39" s="64"/>
      <c r="F39" s="73"/>
      <c r="H39" s="79"/>
      <c r="I39" s="64"/>
      <c r="J39" s="64"/>
      <c r="K39" s="64"/>
      <c r="L39" s="73"/>
    </row>
    <row r="40" spans="3:18">
      <c r="C40" s="79"/>
      <c r="D40" s="64"/>
      <c r="E40" s="64"/>
      <c r="F40" s="73"/>
      <c r="H40" s="79"/>
      <c r="I40" s="64"/>
      <c r="J40" s="64"/>
      <c r="K40" s="64"/>
      <c r="L40" s="73"/>
    </row>
    <row r="41" spans="3:18">
      <c r="C41" s="79"/>
      <c r="D41" s="64"/>
      <c r="E41" s="64"/>
      <c r="F41" s="73"/>
      <c r="H41" s="79"/>
      <c r="I41" s="64"/>
      <c r="J41" s="64"/>
      <c r="K41" s="64"/>
      <c r="L41" s="73"/>
    </row>
    <row r="42" spans="3:18">
      <c r="C42" s="79"/>
      <c r="D42" s="64"/>
      <c r="E42" s="64"/>
      <c r="F42" s="73"/>
      <c r="H42" s="79"/>
      <c r="I42" s="64"/>
      <c r="J42" s="64"/>
      <c r="K42" s="64"/>
      <c r="L42" s="73"/>
    </row>
    <row r="43" spans="3:18">
      <c r="C43" s="79"/>
      <c r="D43" s="64"/>
      <c r="E43" s="64"/>
      <c r="F43" s="73"/>
      <c r="H43" s="79"/>
      <c r="I43" s="64"/>
      <c r="J43" s="64"/>
      <c r="K43" s="64"/>
      <c r="L43" s="73"/>
    </row>
    <row r="44" spans="3:18">
      <c r="C44" s="79"/>
      <c r="D44" s="64"/>
      <c r="E44" s="64"/>
      <c r="F44" s="73"/>
      <c r="H44" s="79"/>
      <c r="I44" s="64"/>
      <c r="J44" s="64"/>
      <c r="K44" s="64"/>
      <c r="L44" s="73"/>
    </row>
    <row r="45" spans="3:18">
      <c r="C45" s="79"/>
      <c r="D45" s="64"/>
      <c r="E45" s="64"/>
      <c r="F45" s="73"/>
      <c r="H45" s="79"/>
      <c r="I45" s="64"/>
      <c r="J45" s="64"/>
      <c r="K45" s="64"/>
      <c r="L45" s="73"/>
    </row>
    <row r="46" spans="3:18">
      <c r="C46" s="79"/>
      <c r="D46" s="64"/>
      <c r="E46" s="64"/>
      <c r="F46" s="73"/>
      <c r="H46" s="79"/>
      <c r="I46" s="64"/>
      <c r="J46" s="64"/>
      <c r="K46" s="64"/>
      <c r="L46" s="73"/>
    </row>
    <row r="47" spans="3:18">
      <c r="C47" s="79"/>
      <c r="D47" s="64"/>
      <c r="E47" s="64"/>
      <c r="F47" s="73"/>
      <c r="H47" s="79"/>
      <c r="I47" s="64"/>
      <c r="J47" s="64"/>
      <c r="K47" s="64"/>
      <c r="L47" s="73"/>
    </row>
    <row r="48" spans="3:18">
      <c r="C48" s="75"/>
      <c r="D48" s="76"/>
      <c r="E48" s="76"/>
      <c r="F48" s="77"/>
      <c r="H48" s="75"/>
      <c r="I48" s="76"/>
      <c r="J48" s="76"/>
      <c r="K48" s="76"/>
      <c r="L48" s="77"/>
    </row>
  </sheetData>
  <mergeCells count="1">
    <mergeCell ref="H10:I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createCharts">
                <anchor moveWithCells="1" sizeWithCells="1">
                  <from>
                    <xdr:col>0</xdr:col>
                    <xdr:colOff>127000</xdr:colOff>
                    <xdr:row>0</xdr:row>
                    <xdr:rowOff>177800</xdr:rowOff>
                  </from>
                  <to>
                    <xdr:col>1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Charts">
                <anchor moveWithCells="1" sizeWithCells="1">
                  <from>
                    <xdr:col>0</xdr:col>
                    <xdr:colOff>139700</xdr:colOff>
                    <xdr:row>4</xdr:row>
                    <xdr:rowOff>12700</xdr:rowOff>
                  </from>
                  <to>
                    <xdr:col>1</xdr:col>
                    <xdr:colOff>457200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FinancialAdvice">
                <anchor moveWithCells="1" sizeWithCells="1">
                  <from>
                    <xdr:col>0</xdr:col>
                    <xdr:colOff>139700</xdr:colOff>
                    <xdr:row>7</xdr:row>
                    <xdr:rowOff>177800</xdr:rowOff>
                  </from>
                  <to>
                    <xdr:col>1</xdr:col>
                    <xdr:colOff>457200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:H37"/>
  <sheetViews>
    <sheetView workbookViewId="0">
      <selection activeCell="A18" sqref="A18"/>
    </sheetView>
  </sheetViews>
  <sheetFormatPr baseColWidth="10" defaultColWidth="9.1640625" defaultRowHeight="15"/>
  <cols>
    <col min="1" max="1" width="94.1640625" style="2" customWidth="1"/>
    <col min="2" max="3" width="3.6640625" style="2" customWidth="1"/>
    <col min="4" max="4" width="95.83203125" style="2" customWidth="1"/>
    <col min="5" max="5" width="10.5" style="2" customWidth="1"/>
    <col min="6" max="7" width="9.1640625" style="2" customWidth="1"/>
    <col min="8" max="16384" width="9.1640625" style="2"/>
  </cols>
  <sheetData>
    <row r="1" spans="1:8" s="86" customFormat="1" ht="40.5" customHeight="1" thickBot="1">
      <c r="A1" s="85" t="s">
        <v>45</v>
      </c>
    </row>
    <row r="3" spans="1:8" s="1" customFormat="1" ht="16">
      <c r="A3" s="67" t="s">
        <v>46</v>
      </c>
      <c r="B3" s="3"/>
      <c r="C3" s="3"/>
      <c r="D3" s="67" t="s">
        <v>56</v>
      </c>
    </row>
    <row r="4" spans="1:8" s="1" customFormat="1" ht="16">
      <c r="A4" s="66" t="s">
        <v>47</v>
      </c>
      <c r="B4" s="3"/>
      <c r="C4" s="3"/>
      <c r="D4" s="4" t="s">
        <v>57</v>
      </c>
    </row>
    <row r="5" spans="1:8" s="1" customFormat="1" ht="16">
      <c r="A5" s="4" t="s">
        <v>48</v>
      </c>
      <c r="B5" s="3"/>
      <c r="C5" s="3"/>
      <c r="D5" s="4" t="s">
        <v>58</v>
      </c>
    </row>
    <row r="6" spans="1:8" s="1" customFormat="1" ht="16">
      <c r="A6" s="4" t="s">
        <v>49</v>
      </c>
      <c r="B6" s="3"/>
      <c r="C6" s="3"/>
      <c r="D6" s="4" t="s">
        <v>59</v>
      </c>
    </row>
    <row r="7" spans="1:8" s="1" customFormat="1" ht="16">
      <c r="A7" s="4" t="s">
        <v>50</v>
      </c>
      <c r="B7" s="3"/>
      <c r="C7" s="3"/>
      <c r="D7" s="4" t="s">
        <v>60</v>
      </c>
    </row>
    <row r="8" spans="1:8" s="1" customFormat="1" ht="16">
      <c r="A8" s="4" t="s">
        <v>51</v>
      </c>
      <c r="B8" s="3"/>
      <c r="C8" s="3"/>
      <c r="D8" s="4" t="s">
        <v>61</v>
      </c>
    </row>
    <row r="9" spans="1:8" s="1" customFormat="1" ht="16">
      <c r="A9" s="4" t="s">
        <v>52</v>
      </c>
      <c r="B9" s="3"/>
      <c r="C9" s="3"/>
      <c r="D9" s="4" t="s">
        <v>62</v>
      </c>
    </row>
    <row r="10" spans="1:8" s="1" customFormat="1" ht="16">
      <c r="A10" s="4" t="s">
        <v>53</v>
      </c>
      <c r="B10" s="3"/>
      <c r="C10" s="3"/>
      <c r="D10" s="3"/>
    </row>
    <row r="11" spans="1:8" s="1" customFormat="1" ht="16">
      <c r="A11" s="4" t="s">
        <v>54</v>
      </c>
      <c r="B11" s="3"/>
      <c r="C11" s="3"/>
      <c r="D11" s="3"/>
    </row>
    <row r="12" spans="1:8" s="1" customFormat="1" ht="16">
      <c r="A12" s="4" t="s">
        <v>55</v>
      </c>
      <c r="B12" s="3"/>
      <c r="C12" s="3"/>
      <c r="D12" s="3"/>
    </row>
    <row r="13" spans="1:8" s="1" customFormat="1" ht="16">
      <c r="A13" s="3"/>
      <c r="B13" s="3"/>
      <c r="C13" s="3"/>
      <c r="D13" s="3"/>
    </row>
    <row r="14" spans="1:8" s="1" customFormat="1" ht="24" customHeight="1">
      <c r="A14" s="6" t="s">
        <v>66</v>
      </c>
      <c r="B14" s="6"/>
      <c r="C14" s="6"/>
      <c r="D14" s="69"/>
      <c r="E14" s="5"/>
      <c r="F14" s="3"/>
      <c r="G14" s="3"/>
      <c r="H14" s="3"/>
    </row>
    <row r="15" spans="1:8" s="1" customFormat="1" ht="16">
      <c r="A15" s="68" t="s">
        <v>63</v>
      </c>
      <c r="B15" s="68"/>
      <c r="C15" s="68"/>
      <c r="D15" s="68"/>
    </row>
    <row r="37" spans="1:1">
      <c r="A37" s="8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isplayFinancialAdivce">
                <anchor moveWithCells="1" sizeWithCells="1">
                  <from>
                    <xdr:col>0</xdr:col>
                    <xdr:colOff>4889500</xdr:colOff>
                    <xdr:row>0</xdr:row>
                    <xdr:rowOff>38100</xdr:rowOff>
                  </from>
                  <to>
                    <xdr:col>2</xdr:col>
                    <xdr:colOff>241300</xdr:colOff>
                    <xdr:row>0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EFF735-D625-4A91-91D3-D8AC1CA2884C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9ad7a586-468b-408f-bee0-f7f70b225374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Welcome!</vt:lpstr>
      <vt:lpstr>Expenses&amp;Incomes</vt:lpstr>
      <vt:lpstr>Output</vt:lpstr>
      <vt:lpstr>Financial Summary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Tejesh Arujuna</cp:lastModifiedBy>
  <cp:revision/>
  <dcterms:created xsi:type="dcterms:W3CDTF">2021-10-13T18:04:27Z</dcterms:created>
  <dcterms:modified xsi:type="dcterms:W3CDTF">2023-09-17T21:53:27Z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